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arcus\"/>
    </mc:Choice>
  </mc:AlternateContent>
  <xr:revisionPtr revIDLastSave="0" documentId="13_ncr:1_{B3611AA0-0058-4172-B589-869024E0B047}" xr6:coauthVersionLast="47" xr6:coauthVersionMax="47" xr10:uidLastSave="{00000000-0000-0000-0000-000000000000}"/>
  <bookViews>
    <workbookView xWindow="3936" yWindow="3540" windowWidth="17280" windowHeight="9420" activeTab="1" xr2:uid="{00000000-000D-0000-FFFF-FFFF00000000}"/>
  </bookViews>
  <sheets>
    <sheet name="Home" sheetId="2" r:id="rId1"/>
    <sheet name="Option_Chain" sheetId="1" r:id="rId2"/>
    <sheet name="Option_Chain_Raw" sheetId="3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1" l="1"/>
  <c r="P3" i="1"/>
  <c r="T53" i="1"/>
  <c r="S53" i="1"/>
  <c r="R53" i="1"/>
  <c r="Q53" i="1"/>
  <c r="P53" i="1"/>
  <c r="O53" i="1"/>
  <c r="N53" i="1"/>
  <c r="M53" i="1"/>
  <c r="T49" i="1" s="1"/>
  <c r="L53" i="1"/>
  <c r="K53" i="1"/>
  <c r="J53" i="1"/>
  <c r="H53" i="1"/>
  <c r="G53" i="1"/>
  <c r="F53" i="1"/>
  <c r="E53" i="1"/>
  <c r="D53" i="1"/>
  <c r="C53" i="1"/>
  <c r="B53" i="1"/>
  <c r="T52" i="1"/>
  <c r="S52" i="1"/>
  <c r="R52" i="1"/>
  <c r="Q52" i="1"/>
  <c r="P52" i="1"/>
  <c r="O52" i="1"/>
  <c r="N52" i="1"/>
  <c r="M52" i="1"/>
  <c r="L52" i="1"/>
  <c r="K52" i="1"/>
  <c r="J52" i="1"/>
  <c r="H52" i="1"/>
  <c r="G52" i="1"/>
  <c r="F52" i="1"/>
  <c r="E52" i="1"/>
  <c r="D52" i="1"/>
  <c r="C52" i="1"/>
  <c r="B52" i="1"/>
  <c r="T51" i="1"/>
  <c r="S51" i="1"/>
  <c r="R51" i="1"/>
  <c r="Q51" i="1"/>
  <c r="P51" i="1"/>
  <c r="O51" i="1"/>
  <c r="N51" i="1"/>
  <c r="M51" i="1"/>
  <c r="L51" i="1"/>
  <c r="K51" i="1"/>
  <c r="J51" i="1"/>
  <c r="H51" i="1"/>
  <c r="G51" i="1"/>
  <c r="F51" i="1"/>
  <c r="E51" i="1"/>
  <c r="D51" i="1"/>
  <c r="C51" i="1"/>
  <c r="B51" i="1"/>
  <c r="T50" i="1"/>
  <c r="S50" i="1"/>
  <c r="R50" i="1"/>
  <c r="Q50" i="1"/>
  <c r="P50" i="1"/>
  <c r="O50" i="1"/>
  <c r="N50" i="1"/>
  <c r="M50" i="1"/>
  <c r="T35" i="1" s="1"/>
  <c r="L50" i="1"/>
  <c r="K50" i="1"/>
  <c r="J50" i="1"/>
  <c r="H50" i="1"/>
  <c r="G50" i="1"/>
  <c r="F50" i="1"/>
  <c r="E50" i="1"/>
  <c r="D50" i="1"/>
  <c r="C50" i="1"/>
  <c r="B50" i="1"/>
  <c r="A50" i="1"/>
  <c r="S49" i="1"/>
  <c r="R49" i="1"/>
  <c r="Q49" i="1"/>
  <c r="P49" i="1"/>
  <c r="O49" i="1"/>
  <c r="N49" i="1"/>
  <c r="M49" i="1"/>
  <c r="L49" i="1"/>
  <c r="K49" i="1"/>
  <c r="J49" i="1"/>
  <c r="H49" i="1"/>
  <c r="G49" i="1"/>
  <c r="F49" i="1"/>
  <c r="E49" i="1"/>
  <c r="D49" i="1"/>
  <c r="C49" i="1"/>
  <c r="B49" i="1"/>
  <c r="T48" i="1"/>
  <c r="S48" i="1"/>
  <c r="R48" i="1"/>
  <c r="Q48" i="1"/>
  <c r="P48" i="1"/>
  <c r="O48" i="1"/>
  <c r="N48" i="1"/>
  <c r="M48" i="1"/>
  <c r="L48" i="1"/>
  <c r="K48" i="1"/>
  <c r="J48" i="1"/>
  <c r="H48" i="1"/>
  <c r="G48" i="1"/>
  <c r="F48" i="1"/>
  <c r="E48" i="1"/>
  <c r="D48" i="1"/>
  <c r="C48" i="1"/>
  <c r="B48" i="1"/>
  <c r="T47" i="1"/>
  <c r="S47" i="1"/>
  <c r="R47" i="1"/>
  <c r="Q47" i="1"/>
  <c r="P47" i="1"/>
  <c r="O47" i="1"/>
  <c r="N47" i="1"/>
  <c r="M47" i="1"/>
  <c r="T43" i="1" s="1"/>
  <c r="L47" i="1"/>
  <c r="K47" i="1"/>
  <c r="J47" i="1"/>
  <c r="H47" i="1"/>
  <c r="G47" i="1"/>
  <c r="F47" i="1"/>
  <c r="E47" i="1"/>
  <c r="D47" i="1"/>
  <c r="C47" i="1"/>
  <c r="B47" i="1"/>
  <c r="S46" i="1"/>
  <c r="R46" i="1"/>
  <c r="Q46" i="1"/>
  <c r="P46" i="1"/>
  <c r="O46" i="1"/>
  <c r="N46" i="1"/>
  <c r="M46" i="1"/>
  <c r="L46" i="1"/>
  <c r="K46" i="1"/>
  <c r="J46" i="1"/>
  <c r="H46" i="1"/>
  <c r="G46" i="1"/>
  <c r="F46" i="1"/>
  <c r="E46" i="1"/>
  <c r="D46" i="1"/>
  <c r="C46" i="1"/>
  <c r="B46" i="1"/>
  <c r="T45" i="1"/>
  <c r="S45" i="1"/>
  <c r="R45" i="1"/>
  <c r="Q45" i="1"/>
  <c r="P45" i="1"/>
  <c r="O45" i="1"/>
  <c r="N45" i="1"/>
  <c r="M45" i="1"/>
  <c r="T41" i="1" s="1"/>
  <c r="L45" i="1"/>
  <c r="K45" i="1"/>
  <c r="J45" i="1"/>
  <c r="H45" i="1"/>
  <c r="G45" i="1"/>
  <c r="F45" i="1"/>
  <c r="E45" i="1"/>
  <c r="D45" i="1"/>
  <c r="C45" i="1"/>
  <c r="B45" i="1"/>
  <c r="T44" i="1"/>
  <c r="S44" i="1"/>
  <c r="R44" i="1"/>
  <c r="Q44" i="1"/>
  <c r="P44" i="1"/>
  <c r="O44" i="1"/>
  <c r="N44" i="1"/>
  <c r="M44" i="1"/>
  <c r="L44" i="1"/>
  <c r="K44" i="1"/>
  <c r="J44" i="1"/>
  <c r="H44" i="1"/>
  <c r="G44" i="1"/>
  <c r="F44" i="1"/>
  <c r="E44" i="1"/>
  <c r="D44" i="1"/>
  <c r="C44" i="1"/>
  <c r="B44" i="1"/>
  <c r="S43" i="1"/>
  <c r="R43" i="1"/>
  <c r="Q43" i="1"/>
  <c r="P43" i="1"/>
  <c r="O43" i="1"/>
  <c r="N43" i="1"/>
  <c r="M43" i="1"/>
  <c r="L43" i="1"/>
  <c r="K43" i="1"/>
  <c r="J43" i="1"/>
  <c r="H43" i="1"/>
  <c r="G43" i="1"/>
  <c r="F43" i="1"/>
  <c r="E43" i="1"/>
  <c r="D43" i="1"/>
  <c r="C43" i="1"/>
  <c r="B43" i="1"/>
  <c r="T42" i="1"/>
  <c r="S42" i="1"/>
  <c r="R42" i="1"/>
  <c r="Q42" i="1"/>
  <c r="P42" i="1"/>
  <c r="O42" i="1"/>
  <c r="N42" i="1"/>
  <c r="M42" i="1"/>
  <c r="L42" i="1"/>
  <c r="K42" i="1"/>
  <c r="J42" i="1"/>
  <c r="H42" i="1"/>
  <c r="G42" i="1"/>
  <c r="F42" i="1"/>
  <c r="E42" i="1"/>
  <c r="D42" i="1"/>
  <c r="C42" i="1"/>
  <c r="B42" i="1"/>
  <c r="S41" i="1"/>
  <c r="R41" i="1"/>
  <c r="Q41" i="1"/>
  <c r="P41" i="1"/>
  <c r="O41" i="1"/>
  <c r="N41" i="1"/>
  <c r="M41" i="1"/>
  <c r="L41" i="1"/>
  <c r="K41" i="1"/>
  <c r="J41" i="1"/>
  <c r="H41" i="1"/>
  <c r="G41" i="1"/>
  <c r="F41" i="1"/>
  <c r="E41" i="1"/>
  <c r="D41" i="1"/>
  <c r="C41" i="1"/>
  <c r="B41" i="1"/>
  <c r="S40" i="1"/>
  <c r="R40" i="1"/>
  <c r="Q40" i="1"/>
  <c r="P40" i="1"/>
  <c r="O40" i="1"/>
  <c r="N40" i="1"/>
  <c r="M40" i="1"/>
  <c r="L40" i="1"/>
  <c r="K40" i="1"/>
  <c r="J40" i="1"/>
  <c r="H40" i="1"/>
  <c r="G40" i="1"/>
  <c r="F40" i="1"/>
  <c r="E40" i="1"/>
  <c r="D40" i="1"/>
  <c r="C40" i="1"/>
  <c r="B40" i="1"/>
  <c r="S39" i="1"/>
  <c r="R39" i="1"/>
  <c r="Q39" i="1"/>
  <c r="P39" i="1"/>
  <c r="O39" i="1"/>
  <c r="N39" i="1"/>
  <c r="M39" i="1"/>
  <c r="L39" i="1"/>
  <c r="K39" i="1"/>
  <c r="J39" i="1"/>
  <c r="H39" i="1"/>
  <c r="G39" i="1"/>
  <c r="F39" i="1"/>
  <c r="E39" i="1"/>
  <c r="D39" i="1"/>
  <c r="C39" i="1"/>
  <c r="B39" i="1"/>
  <c r="S38" i="1"/>
  <c r="R38" i="1"/>
  <c r="Q38" i="1"/>
  <c r="P38" i="1"/>
  <c r="O38" i="1"/>
  <c r="N38" i="1"/>
  <c r="M38" i="1"/>
  <c r="L38" i="1"/>
  <c r="K38" i="1"/>
  <c r="J38" i="1"/>
  <c r="H38" i="1"/>
  <c r="G38" i="1"/>
  <c r="F38" i="1"/>
  <c r="E38" i="1"/>
  <c r="D38" i="1"/>
  <c r="C38" i="1"/>
  <c r="B38" i="1"/>
  <c r="S37" i="1"/>
  <c r="R37" i="1"/>
  <c r="Q37" i="1"/>
  <c r="P37" i="1"/>
  <c r="O37" i="1"/>
  <c r="N37" i="1"/>
  <c r="M37" i="1"/>
  <c r="L37" i="1"/>
  <c r="K37" i="1"/>
  <c r="J37" i="1"/>
  <c r="H37" i="1"/>
  <c r="G37" i="1"/>
  <c r="F37" i="1"/>
  <c r="E37" i="1"/>
  <c r="D37" i="1"/>
  <c r="C37" i="1"/>
  <c r="B37" i="1"/>
  <c r="S36" i="1"/>
  <c r="R36" i="1"/>
  <c r="Q36" i="1"/>
  <c r="P36" i="1"/>
  <c r="O36" i="1"/>
  <c r="N36" i="1"/>
  <c r="M36" i="1"/>
  <c r="L36" i="1"/>
  <c r="K36" i="1"/>
  <c r="J36" i="1"/>
  <c r="H36" i="1"/>
  <c r="G36" i="1"/>
  <c r="F36" i="1"/>
  <c r="E36" i="1"/>
  <c r="D36" i="1"/>
  <c r="C36" i="1"/>
  <c r="B36" i="1"/>
  <c r="S35" i="1"/>
  <c r="R35" i="1"/>
  <c r="Q35" i="1"/>
  <c r="P35" i="1"/>
  <c r="O35" i="1"/>
  <c r="N35" i="1"/>
  <c r="M35" i="1"/>
  <c r="L35" i="1"/>
  <c r="K35" i="1"/>
  <c r="J35" i="1"/>
  <c r="H35" i="1"/>
  <c r="G35" i="1"/>
  <c r="F35" i="1"/>
  <c r="E35" i="1"/>
  <c r="D35" i="1"/>
  <c r="C35" i="1"/>
  <c r="B35" i="1"/>
  <c r="S34" i="1"/>
  <c r="R34" i="1"/>
  <c r="Q34" i="1"/>
  <c r="P34" i="1"/>
  <c r="O34" i="1"/>
  <c r="N34" i="1"/>
  <c r="M34" i="1"/>
  <c r="L34" i="1"/>
  <c r="K34" i="1"/>
  <c r="J34" i="1"/>
  <c r="H34" i="1"/>
  <c r="G34" i="1"/>
  <c r="F34" i="1"/>
  <c r="E34" i="1"/>
  <c r="D34" i="1"/>
  <c r="C34" i="1"/>
  <c r="B34" i="1"/>
  <c r="S33" i="1"/>
  <c r="R33" i="1"/>
  <c r="Q33" i="1"/>
  <c r="P33" i="1"/>
  <c r="O33" i="1"/>
  <c r="N33" i="1"/>
  <c r="M33" i="1"/>
  <c r="L33" i="1"/>
  <c r="K33" i="1"/>
  <c r="J33" i="1"/>
  <c r="H33" i="1"/>
  <c r="G33" i="1"/>
  <c r="F33" i="1"/>
  <c r="E33" i="1"/>
  <c r="D33" i="1"/>
  <c r="C33" i="1"/>
  <c r="B33" i="1"/>
  <c r="S32" i="1"/>
  <c r="R32" i="1"/>
  <c r="Q32" i="1"/>
  <c r="P32" i="1"/>
  <c r="O32" i="1"/>
  <c r="N32" i="1"/>
  <c r="M32" i="1"/>
  <c r="L32" i="1"/>
  <c r="K32" i="1"/>
  <c r="J32" i="1"/>
  <c r="H32" i="1"/>
  <c r="G32" i="1"/>
  <c r="F32" i="1"/>
  <c r="E32" i="1"/>
  <c r="D32" i="1"/>
  <c r="C32" i="1"/>
  <c r="B32" i="1"/>
  <c r="S31" i="1"/>
  <c r="R31" i="1"/>
  <c r="Q31" i="1"/>
  <c r="P31" i="1"/>
  <c r="O31" i="1"/>
  <c r="N31" i="1"/>
  <c r="M31" i="1"/>
  <c r="L31" i="1"/>
  <c r="K31" i="1"/>
  <c r="J31" i="1"/>
  <c r="H31" i="1"/>
  <c r="G31" i="1"/>
  <c r="F31" i="1"/>
  <c r="E31" i="1"/>
  <c r="D31" i="1"/>
  <c r="C31" i="1"/>
  <c r="B31" i="1"/>
  <c r="S30" i="1"/>
  <c r="R30" i="1"/>
  <c r="Q30" i="1"/>
  <c r="P30" i="1"/>
  <c r="O30" i="1"/>
  <c r="N30" i="1"/>
  <c r="M30" i="1"/>
  <c r="L30" i="1"/>
  <c r="K30" i="1"/>
  <c r="J30" i="1"/>
  <c r="H30" i="1"/>
  <c r="G30" i="1"/>
  <c r="F30" i="1"/>
  <c r="E30" i="1"/>
  <c r="D30" i="1"/>
  <c r="C30" i="1"/>
  <c r="B30" i="1"/>
  <c r="S29" i="1"/>
  <c r="R29" i="1"/>
  <c r="Q29" i="1"/>
  <c r="P29" i="1"/>
  <c r="O29" i="1"/>
  <c r="N29" i="1"/>
  <c r="M29" i="1"/>
  <c r="L29" i="1"/>
  <c r="K29" i="1"/>
  <c r="J29" i="1"/>
  <c r="H29" i="1"/>
  <c r="G29" i="1"/>
  <c r="F29" i="1"/>
  <c r="E29" i="1"/>
  <c r="D29" i="1"/>
  <c r="C29" i="1"/>
  <c r="B29" i="1"/>
  <c r="S28" i="1"/>
  <c r="R28" i="1"/>
  <c r="Q28" i="1"/>
  <c r="P28" i="1"/>
  <c r="O28" i="1"/>
  <c r="N28" i="1"/>
  <c r="M28" i="1"/>
  <c r="L28" i="1"/>
  <c r="K28" i="1"/>
  <c r="J28" i="1"/>
  <c r="H28" i="1"/>
  <c r="G28" i="1"/>
  <c r="F28" i="1"/>
  <c r="E28" i="1"/>
  <c r="D28" i="1"/>
  <c r="C28" i="1"/>
  <c r="B28" i="1"/>
  <c r="S27" i="1"/>
  <c r="R27" i="1"/>
  <c r="Q27" i="1"/>
  <c r="P27" i="1"/>
  <c r="O27" i="1"/>
  <c r="N27" i="1"/>
  <c r="M27" i="1"/>
  <c r="L27" i="1"/>
  <c r="K27" i="1"/>
  <c r="J27" i="1"/>
  <c r="H27" i="1"/>
  <c r="G27" i="1"/>
  <c r="F27" i="1"/>
  <c r="E27" i="1"/>
  <c r="D27" i="1"/>
  <c r="C27" i="1"/>
  <c r="B27" i="1"/>
  <c r="S26" i="1"/>
  <c r="R26" i="1"/>
  <c r="Q26" i="1"/>
  <c r="P26" i="1"/>
  <c r="O26" i="1"/>
  <c r="N26" i="1"/>
  <c r="M26" i="1"/>
  <c r="L26" i="1"/>
  <c r="K26" i="1"/>
  <c r="J26" i="1"/>
  <c r="H26" i="1"/>
  <c r="G26" i="1"/>
  <c r="F26" i="1"/>
  <c r="E26" i="1"/>
  <c r="D26" i="1"/>
  <c r="A26" i="1" s="1"/>
  <c r="C26" i="1"/>
  <c r="B26" i="1"/>
  <c r="S25" i="1"/>
  <c r="R25" i="1"/>
  <c r="Q25" i="1"/>
  <c r="P25" i="1"/>
  <c r="O25" i="1"/>
  <c r="N25" i="1"/>
  <c r="M25" i="1"/>
  <c r="L25" i="1"/>
  <c r="K25" i="1"/>
  <c r="J25" i="1"/>
  <c r="H25" i="1"/>
  <c r="G25" i="1"/>
  <c r="F25" i="1"/>
  <c r="E25" i="1"/>
  <c r="D25" i="1"/>
  <c r="C25" i="1"/>
  <c r="B25" i="1"/>
  <c r="S24" i="1"/>
  <c r="R24" i="1"/>
  <c r="Q24" i="1"/>
  <c r="P24" i="1"/>
  <c r="O24" i="1"/>
  <c r="N24" i="1"/>
  <c r="M24" i="1"/>
  <c r="L24" i="1"/>
  <c r="K24" i="1"/>
  <c r="J24" i="1"/>
  <c r="H24" i="1"/>
  <c r="G24" i="1"/>
  <c r="F24" i="1"/>
  <c r="E24" i="1"/>
  <c r="D24" i="1"/>
  <c r="C24" i="1"/>
  <c r="B24" i="1"/>
  <c r="S23" i="1"/>
  <c r="R23" i="1"/>
  <c r="Q23" i="1"/>
  <c r="P23" i="1"/>
  <c r="O23" i="1"/>
  <c r="N23" i="1"/>
  <c r="M23" i="1"/>
  <c r="L23" i="1"/>
  <c r="K23" i="1"/>
  <c r="J23" i="1"/>
  <c r="H23" i="1"/>
  <c r="G23" i="1"/>
  <c r="F23" i="1"/>
  <c r="E23" i="1"/>
  <c r="D23" i="1"/>
  <c r="C23" i="1"/>
  <c r="B23" i="1"/>
  <c r="S22" i="1"/>
  <c r="R22" i="1"/>
  <c r="Q22" i="1"/>
  <c r="P22" i="1"/>
  <c r="O22" i="1"/>
  <c r="N22" i="1"/>
  <c r="M22" i="1"/>
  <c r="L22" i="1"/>
  <c r="K22" i="1"/>
  <c r="J22" i="1"/>
  <c r="H22" i="1"/>
  <c r="G22" i="1"/>
  <c r="F22" i="1"/>
  <c r="E22" i="1"/>
  <c r="D22" i="1"/>
  <c r="C22" i="1"/>
  <c r="B22" i="1"/>
  <c r="S21" i="1"/>
  <c r="R21" i="1"/>
  <c r="Q21" i="1"/>
  <c r="P21" i="1"/>
  <c r="O21" i="1"/>
  <c r="N21" i="1"/>
  <c r="M21" i="1"/>
  <c r="L21" i="1"/>
  <c r="K21" i="1"/>
  <c r="J21" i="1"/>
  <c r="H21" i="1"/>
  <c r="G21" i="1"/>
  <c r="F21" i="1"/>
  <c r="E21" i="1"/>
  <c r="D21" i="1"/>
  <c r="C21" i="1"/>
  <c r="B21" i="1"/>
  <c r="S20" i="1"/>
  <c r="R20" i="1"/>
  <c r="Q20" i="1"/>
  <c r="P20" i="1"/>
  <c r="O20" i="1"/>
  <c r="N20" i="1"/>
  <c r="M20" i="1"/>
  <c r="L20" i="1"/>
  <c r="K20" i="1"/>
  <c r="J20" i="1"/>
  <c r="H20" i="1"/>
  <c r="G20" i="1"/>
  <c r="F20" i="1"/>
  <c r="E20" i="1"/>
  <c r="D20" i="1"/>
  <c r="C20" i="1"/>
  <c r="B20" i="1"/>
  <c r="S19" i="1"/>
  <c r="R19" i="1"/>
  <c r="Q19" i="1"/>
  <c r="P19" i="1"/>
  <c r="O19" i="1"/>
  <c r="N19" i="1"/>
  <c r="M19" i="1"/>
  <c r="L19" i="1"/>
  <c r="K19" i="1"/>
  <c r="J19" i="1"/>
  <c r="H19" i="1"/>
  <c r="G19" i="1"/>
  <c r="F19" i="1"/>
  <c r="E19" i="1"/>
  <c r="D19" i="1"/>
  <c r="C19" i="1"/>
  <c r="B19" i="1"/>
  <c r="S18" i="1"/>
  <c r="R18" i="1"/>
  <c r="Q18" i="1"/>
  <c r="P18" i="1"/>
  <c r="O18" i="1"/>
  <c r="N18" i="1"/>
  <c r="M18" i="1"/>
  <c r="L18" i="1"/>
  <c r="K18" i="1"/>
  <c r="J18" i="1"/>
  <c r="H18" i="1"/>
  <c r="G18" i="1"/>
  <c r="F18" i="1"/>
  <c r="E18" i="1"/>
  <c r="D18" i="1"/>
  <c r="C18" i="1"/>
  <c r="B18" i="1"/>
  <c r="S17" i="1"/>
  <c r="R17" i="1"/>
  <c r="Q17" i="1"/>
  <c r="P17" i="1"/>
  <c r="O17" i="1"/>
  <c r="N17" i="1"/>
  <c r="M17" i="1"/>
  <c r="L17" i="1"/>
  <c r="K17" i="1"/>
  <c r="J17" i="1"/>
  <c r="H17" i="1"/>
  <c r="G17" i="1"/>
  <c r="F17" i="1"/>
  <c r="E17" i="1"/>
  <c r="D17" i="1"/>
  <c r="C17" i="1"/>
  <c r="B17" i="1"/>
  <c r="S16" i="1"/>
  <c r="R16" i="1"/>
  <c r="Q16" i="1"/>
  <c r="P16" i="1"/>
  <c r="O16" i="1"/>
  <c r="N16" i="1"/>
  <c r="M16" i="1"/>
  <c r="L16" i="1"/>
  <c r="K16" i="1"/>
  <c r="J16" i="1"/>
  <c r="H16" i="1"/>
  <c r="G16" i="1"/>
  <c r="A16" i="1" s="1"/>
  <c r="F16" i="1"/>
  <c r="E16" i="1"/>
  <c r="D16" i="1"/>
  <c r="C16" i="1"/>
  <c r="B16" i="1"/>
  <c r="S15" i="1"/>
  <c r="R15" i="1"/>
  <c r="Q15" i="1"/>
  <c r="P15" i="1"/>
  <c r="O15" i="1"/>
  <c r="N15" i="1"/>
  <c r="M15" i="1"/>
  <c r="L15" i="1"/>
  <c r="K15" i="1"/>
  <c r="J15" i="1"/>
  <c r="H15" i="1"/>
  <c r="G15" i="1"/>
  <c r="F15" i="1"/>
  <c r="E15" i="1"/>
  <c r="D15" i="1"/>
  <c r="C15" i="1"/>
  <c r="B15" i="1"/>
  <c r="S14" i="1"/>
  <c r="R14" i="1"/>
  <c r="Q14" i="1"/>
  <c r="P14" i="1"/>
  <c r="O14" i="1"/>
  <c r="N14" i="1"/>
  <c r="M14" i="1"/>
  <c r="L14" i="1"/>
  <c r="K14" i="1"/>
  <c r="J14" i="1"/>
  <c r="H14" i="1"/>
  <c r="G14" i="1"/>
  <c r="F14" i="1"/>
  <c r="E14" i="1"/>
  <c r="D14" i="1"/>
  <c r="C14" i="1"/>
  <c r="B14" i="1"/>
  <c r="S13" i="1"/>
  <c r="R13" i="1"/>
  <c r="Q13" i="1"/>
  <c r="P13" i="1"/>
  <c r="O13" i="1"/>
  <c r="N13" i="1"/>
  <c r="M13" i="1"/>
  <c r="L13" i="1"/>
  <c r="K13" i="1"/>
  <c r="J13" i="1"/>
  <c r="H13" i="1"/>
  <c r="G13" i="1"/>
  <c r="F13" i="1"/>
  <c r="E13" i="1"/>
  <c r="D13" i="1"/>
  <c r="C13" i="1"/>
  <c r="B13" i="1"/>
  <c r="A53" i="1" l="1"/>
  <c r="A52" i="1"/>
  <c r="A51" i="1"/>
  <c r="T46" i="1"/>
  <c r="T33" i="1"/>
  <c r="A49" i="1"/>
  <c r="A48" i="1"/>
  <c r="A47" i="1"/>
  <c r="A46" i="1"/>
  <c r="T34" i="1"/>
  <c r="T40" i="1"/>
  <c r="A45" i="1"/>
  <c r="T39" i="1"/>
  <c r="A44" i="1"/>
  <c r="T36" i="1"/>
  <c r="T37" i="1"/>
  <c r="T38" i="1"/>
  <c r="A43" i="1"/>
  <c r="A42" i="1"/>
  <c r="A41" i="1"/>
  <c r="A40" i="1"/>
  <c r="A39" i="1"/>
  <c r="A38" i="1"/>
  <c r="T32" i="1"/>
  <c r="A37" i="1"/>
  <c r="T29" i="1"/>
  <c r="T31" i="1"/>
  <c r="A36" i="1"/>
  <c r="A35" i="1"/>
  <c r="T28" i="1"/>
  <c r="A34" i="1"/>
  <c r="A33" i="1"/>
  <c r="T24" i="1"/>
  <c r="T30" i="1"/>
  <c r="A32" i="1"/>
  <c r="A31" i="1"/>
  <c r="A30" i="1"/>
  <c r="A29" i="1"/>
  <c r="T15" i="1"/>
  <c r="T27" i="1"/>
  <c r="T22" i="1"/>
  <c r="T26" i="1"/>
  <c r="T23" i="1"/>
  <c r="T25" i="1"/>
  <c r="A28" i="1"/>
  <c r="A27" i="1"/>
  <c r="T20" i="1"/>
  <c r="T21" i="1"/>
  <c r="A25" i="1"/>
  <c r="T16" i="1"/>
  <c r="T19" i="1"/>
  <c r="A24" i="1"/>
  <c r="T18" i="1"/>
  <c r="T17" i="1"/>
  <c r="A23" i="1"/>
  <c r="A22" i="1"/>
  <c r="A21" i="1"/>
  <c r="A20" i="1"/>
  <c r="A19" i="1"/>
  <c r="A18" i="1"/>
  <c r="A17" i="1"/>
  <c r="T14" i="1"/>
  <c r="T13" i="1"/>
  <c r="A15" i="1"/>
  <c r="A14" i="1"/>
  <c r="A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D1E58A-7D77-4732-B3EA-F217B3C849C4}" keepAlive="1" name="Query - OptionChainDataGlimpse" description="Connection to the 'OptionChainDataGlimpse' query in the workbook." type="5" refreshedVersion="6" background="1" saveData="1">
    <dbPr connection="Provider=Microsoft.Mashup.OleDb.1;Data Source=$Workbook$;Location=OptionChainDataGlimpse;Extended Properties=&quot;&quot;" command="SELECT * FROM [OptionChainDataGlimpse]"/>
  </connection>
  <connection id="2" xr16:uid="{E7B03F4B-850A-482D-AE9D-46702DFD8CD3}" keepAlive="1" name="Query - OptionGlimpseSymbol" description="Connection to the 'OptionGlimpseSymbol' query in the workbook." type="5" refreshedVersion="0" background="1">
    <dbPr connection="Provider=Microsoft.Mashup.OleDb.1;Data Source=$Workbook$;Location=OptionGlimpseSymbol;Extended Properties=&quot;&quot;" command="SELECT * FROM [OptionGlimpseSymbol]"/>
  </connection>
  <connection id="3" xr16:uid="{E941AA57-86E6-4899-B890-3E48DAA8307F}" keepAlive="1" name="Query - OptionGlimpseSymbolLink" description="Connection to the 'OptionGlimpseSymbolLink' query in the workbook." type="5" refreshedVersion="0" background="1">
    <dbPr connection="Provider=Microsoft.Mashup.OleDb.1;Data Source=$Workbook$;Location=OptionGlimpseSymbolLink;Extended Properties=&quot;&quot;" command="SELECT * FROM [OptionGlimpseSymbolLink]"/>
  </connection>
</connections>
</file>

<file path=xl/sharedStrings.xml><?xml version="1.0" encoding="utf-8"?>
<sst xmlns="http://schemas.openxmlformats.org/spreadsheetml/2006/main" count="676" uniqueCount="345">
  <si>
    <t>LTP</t>
  </si>
  <si>
    <t>INTERPRETATION</t>
  </si>
  <si>
    <t>OI_PCR</t>
  </si>
  <si>
    <t>VOL_PCR</t>
  </si>
  <si>
    <t>MAXPAIN</t>
  </si>
  <si>
    <t>STRIKE
PRICE</t>
  </si>
  <si>
    <t>CALLS</t>
  </si>
  <si>
    <t>PUTS</t>
  </si>
  <si>
    <t>PCR</t>
  </si>
  <si>
    <r>
      <t xml:space="preserve">Select Symbol </t>
    </r>
    <r>
      <rPr>
        <b/>
        <sz val="8"/>
        <color theme="0"/>
        <rFont val="Aptos Narrow"/>
        <family val="2"/>
      </rPr>
      <t>→</t>
    </r>
  </si>
  <si>
    <r>
      <t xml:space="preserve">Select Option Expiry </t>
    </r>
    <r>
      <rPr>
        <b/>
        <sz val="8"/>
        <color theme="0"/>
        <rFont val="Aptos Narrow"/>
        <family val="2"/>
      </rPr>
      <t>→</t>
    </r>
  </si>
  <si>
    <r>
      <t xml:space="preserve">Select Future Expiry </t>
    </r>
    <r>
      <rPr>
        <b/>
        <sz val="8"/>
        <color theme="0"/>
        <rFont val="Aptos Narrow"/>
        <family val="2"/>
      </rPr>
      <t>→</t>
    </r>
  </si>
  <si>
    <t>SPOT</t>
  </si>
  <si>
    <t>LTP Change</t>
  </si>
  <si>
    <t>FUTURE</t>
  </si>
  <si>
    <t>Open Interest</t>
  </si>
  <si>
    <t>Change in Open Interest</t>
  </si>
  <si>
    <t>Max Open Interest</t>
  </si>
  <si>
    <t>Max Change in Open Interest</t>
  </si>
  <si>
    <t>Max OI Strike</t>
  </si>
  <si>
    <t>Max Change in OI Strike</t>
  </si>
  <si>
    <t>CALL</t>
  </si>
  <si>
    <t>PUT</t>
  </si>
  <si>
    <t>LTP Change %</t>
  </si>
  <si>
    <t>Open</t>
  </si>
  <si>
    <t>High</t>
  </si>
  <si>
    <t>Low</t>
  </si>
  <si>
    <t>MAX PAIN</t>
  </si>
  <si>
    <t>LOGIN METHOD - API &amp; SECRET KEY</t>
  </si>
  <si>
    <t>API_KEY</t>
  </si>
  <si>
    <t>API_SECRET_KEY</t>
  </si>
  <si>
    <t>TOKEN_URL (Auto)</t>
  </si>
  <si>
    <t>ACCESS_TOKEN</t>
  </si>
  <si>
    <t>LOGIN METHOD - ENC TOKEN</t>
  </si>
  <si>
    <t>USED_ID</t>
  </si>
  <si>
    <t>DISCIPLINE IS THE KEY TO SUCCESS !!!</t>
  </si>
  <si>
    <t>ENC_TOKEN</t>
  </si>
  <si>
    <t>CE_Instrument_Type</t>
  </si>
  <si>
    <t>CE_LTP</t>
  </si>
  <si>
    <t>CE_LTP_Change</t>
  </si>
  <si>
    <t>CE_LTQ</t>
  </si>
  <si>
    <t>CE_LTT</t>
  </si>
  <si>
    <t>CE_Total_Buy_Quantity</t>
  </si>
  <si>
    <t>CE_Total_Sell_Quantity</t>
  </si>
  <si>
    <t>CE_Average_Price</t>
  </si>
  <si>
    <t>CE_Open</t>
  </si>
  <si>
    <t>CE_High</t>
  </si>
  <si>
    <t>CE_Low</t>
  </si>
  <si>
    <t>CE_Best_Bid_Price</t>
  </si>
  <si>
    <t>CE_Best_Ask_Price</t>
  </si>
  <si>
    <t>CE_Prev_Close</t>
  </si>
  <si>
    <t>CE_Total_Traded_Volume</t>
  </si>
  <si>
    <t>CE_OI</t>
  </si>
  <si>
    <t>CE_OI_Change</t>
  </si>
  <si>
    <t>CE_Intrinsic_Value(Spot)</t>
  </si>
  <si>
    <t>CE_Time_Value(Spot)</t>
  </si>
  <si>
    <t>CE_IV(Spot)</t>
  </si>
  <si>
    <t>CE_Delta(Spot)</t>
  </si>
  <si>
    <t>CE_Gamma(Spot)</t>
  </si>
  <si>
    <t>CE_Rho(Spot)</t>
  </si>
  <si>
    <t>CE_Theta(Spot)</t>
  </si>
  <si>
    <t>CE_Vega(Spot)</t>
  </si>
  <si>
    <t>Strike</t>
  </si>
  <si>
    <t>PE_Instrument_Type</t>
  </si>
  <si>
    <t>PE_LTP</t>
  </si>
  <si>
    <t>PE_LTP_Change</t>
  </si>
  <si>
    <t>PE_LTQ</t>
  </si>
  <si>
    <t>PE_LTT</t>
  </si>
  <si>
    <t>PE_Total_Buy_Quantity</t>
  </si>
  <si>
    <t>PE_Total_Sell_Quantity</t>
  </si>
  <si>
    <t>PE_Average_Price</t>
  </si>
  <si>
    <t>PE_Open</t>
  </si>
  <si>
    <t>PE_High</t>
  </si>
  <si>
    <t>PE_Low</t>
  </si>
  <si>
    <t>PE_Best_Bid_Price</t>
  </si>
  <si>
    <t>PE_Best_Ask_Price</t>
  </si>
  <si>
    <t>PE_Prev_Close</t>
  </si>
  <si>
    <t>PE_Total_Traded_Volume</t>
  </si>
  <si>
    <t>PE_OI</t>
  </si>
  <si>
    <t>PE_OI_Change</t>
  </si>
  <si>
    <t>PE_Intrinsic_Value(Spot)</t>
  </si>
  <si>
    <t>PE_Time_Value(Spot)</t>
  </si>
  <si>
    <t>PE_IV(Spot)</t>
  </si>
  <si>
    <t>PE_Delta(Spot)</t>
  </si>
  <si>
    <t>PE_Gamma(Spot)</t>
  </si>
  <si>
    <t>PE_Rho(Spot)</t>
  </si>
  <si>
    <t>PE_Theta(Spot)</t>
  </si>
  <si>
    <t>PE_Vega(Spot)</t>
  </si>
  <si>
    <t>Close</t>
  </si>
  <si>
    <t>Intraday</t>
  </si>
  <si>
    <t>Weekly</t>
  </si>
  <si>
    <t>INDIA VIX</t>
  </si>
  <si>
    <t>-</t>
  </si>
  <si>
    <t>Original Header</t>
  </si>
  <si>
    <t>Short Header</t>
  </si>
  <si>
    <t>LTQ</t>
  </si>
  <si>
    <t>LTT</t>
  </si>
  <si>
    <t>Buy_Qty</t>
  </si>
  <si>
    <t>Sell_Qty</t>
  </si>
  <si>
    <t>Avg_Price</t>
  </si>
  <si>
    <t>Bid_Price</t>
  </si>
  <si>
    <t>Ask_Price</t>
  </si>
  <si>
    <t>Volume</t>
  </si>
  <si>
    <t>OI</t>
  </si>
  <si>
    <t>OI_Change</t>
  </si>
  <si>
    <t>IV</t>
  </si>
  <si>
    <t>Time_Value</t>
  </si>
  <si>
    <t>Delta</t>
  </si>
  <si>
    <t>Gamma</t>
  </si>
  <si>
    <t>Rho</t>
  </si>
  <si>
    <t>Theta</t>
  </si>
  <si>
    <t>Vega</t>
  </si>
  <si>
    <t>IntrinsicValue</t>
  </si>
  <si>
    <t>Index</t>
  </si>
  <si>
    <t>Update formula if OI Column changed</t>
  </si>
  <si>
    <t>OHLC</t>
  </si>
  <si>
    <t>COPYRIGHT © 2025 - AUTOMATLY. ALL RIGHTS RESERVED</t>
  </si>
  <si>
    <r>
      <t xml:space="preserve">Insatgram Handle -- </t>
    </r>
    <r>
      <rPr>
        <b/>
        <sz val="8.5"/>
        <color theme="0"/>
        <rFont val="Arial"/>
        <family val="2"/>
      </rPr>
      <t>https://www.instagram.com/automatly/</t>
    </r>
  </si>
  <si>
    <t>AUTOMATLY</t>
  </si>
  <si>
    <r>
      <t xml:space="preserve">Option Chain Length </t>
    </r>
    <r>
      <rPr>
        <b/>
        <sz val="8"/>
        <color rgb="FFFF0000"/>
        <rFont val="Aptos Narrow"/>
        <family val="2"/>
      </rPr>
      <t>→</t>
    </r>
  </si>
  <si>
    <t>SMART OPTION CHAIN EXCEL - ZERODHA</t>
  </si>
  <si>
    <t>VXr2iwXhDjZaf5OgMFa+mWZHb+tg30N5F26BeBghr9p/1ojGQmk8YbpgcdeKUaX0YvIJizPq4/PnlR9BvnZOutZf/LMCxlAiMwYvrjX0uDZBF0ksrWiXZA==</t>
  </si>
  <si>
    <t>JOL229</t>
  </si>
  <si>
    <t>FNO Symbol</t>
  </si>
  <si>
    <t>BANKEX</t>
  </si>
  <si>
    <t>SENSEX</t>
  </si>
  <si>
    <t>NIFTY</t>
  </si>
  <si>
    <t>BANKNIFTY</t>
  </si>
  <si>
    <t>360ONE</t>
  </si>
  <si>
    <t>ABB</t>
  </si>
  <si>
    <t>ABCAPITAL</t>
  </si>
  <si>
    <t>ADANIENSOL</t>
  </si>
  <si>
    <t>ADANIENT</t>
  </si>
  <si>
    <t>ADANIGREEN</t>
  </si>
  <si>
    <t>ADANIPORTS</t>
  </si>
  <si>
    <t>ALKEM</t>
  </si>
  <si>
    <t>AMBER</t>
  </si>
  <si>
    <t>AMBUJACEM</t>
  </si>
  <si>
    <t>ANGELONE</t>
  </si>
  <si>
    <t>APLAPOLLO</t>
  </si>
  <si>
    <t>APOLLOHOSP</t>
  </si>
  <si>
    <t>ASHOKLEY</t>
  </si>
  <si>
    <t>ASIANPAINT</t>
  </si>
  <si>
    <t>ASTRAL</t>
  </si>
  <si>
    <t>AUBANK</t>
  </si>
  <si>
    <t>AUROPHARMA</t>
  </si>
  <si>
    <t>AXISBANK</t>
  </si>
  <si>
    <t>BAJAJ-AUTO</t>
  </si>
  <si>
    <t>BAJAJFINSV</t>
  </si>
  <si>
    <t>BAJFINANCE</t>
  </si>
  <si>
    <t>BANDHANBNK</t>
  </si>
  <si>
    <t>BANKBARODA</t>
  </si>
  <si>
    <t>BANKINDIA</t>
  </si>
  <si>
    <t>BDL</t>
  </si>
  <si>
    <t>BEL</t>
  </si>
  <si>
    <t>BHARATFORG</t>
  </si>
  <si>
    <t>BHARTIARTL</t>
  </si>
  <si>
    <t>BHEL</t>
  </si>
  <si>
    <t>BIOCON</t>
  </si>
  <si>
    <t>BLUESTARCO</t>
  </si>
  <si>
    <t>BOSCHLTD</t>
  </si>
  <si>
    <t>BPCL</t>
  </si>
  <si>
    <t>BRITANNIA</t>
  </si>
  <si>
    <t>BSE</t>
  </si>
  <si>
    <t>CAMS</t>
  </si>
  <si>
    <t>CANBK</t>
  </si>
  <si>
    <t>CDSL</t>
  </si>
  <si>
    <t>CGPOWER</t>
  </si>
  <si>
    <t>CHOLAFIN</t>
  </si>
  <si>
    <t>CIPLA</t>
  </si>
  <si>
    <t>COALINDIA</t>
  </si>
  <si>
    <t>COFORGE</t>
  </si>
  <si>
    <t>COLPAL</t>
  </si>
  <si>
    <t>CONCOR</t>
  </si>
  <si>
    <t>CROMPTON</t>
  </si>
  <si>
    <t>CUMMINSIND</t>
  </si>
  <si>
    <t>CYIENT</t>
  </si>
  <si>
    <t>DABUR</t>
  </si>
  <si>
    <t>DALBHARAT</t>
  </si>
  <si>
    <t>DELHIVERY</t>
  </si>
  <si>
    <t>DIVISLAB</t>
  </si>
  <si>
    <t>DIXON</t>
  </si>
  <si>
    <t>DLF</t>
  </si>
  <si>
    <t>DMART</t>
  </si>
  <si>
    <t>DRREDDY</t>
  </si>
  <si>
    <t>EICHERMOT</t>
  </si>
  <si>
    <t>ETERNAL</t>
  </si>
  <si>
    <t>EXIDEIND</t>
  </si>
  <si>
    <t>FEDERALBNK</t>
  </si>
  <si>
    <t>FINNIFTY</t>
  </si>
  <si>
    <t>FORTIS</t>
  </si>
  <si>
    <t>GAIL</t>
  </si>
  <si>
    <t>GLENMARK</t>
  </si>
  <si>
    <t>GMRAIRPORT</t>
  </si>
  <si>
    <t>GODREJCP</t>
  </si>
  <si>
    <t>GODREJPROP</t>
  </si>
  <si>
    <t>GRASIM</t>
  </si>
  <si>
    <t>HAL</t>
  </si>
  <si>
    <t>HAVELLS</t>
  </si>
  <si>
    <t>HCLTECH</t>
  </si>
  <si>
    <t>HDFCAMC</t>
  </si>
  <si>
    <t>HDFCBANK</t>
  </si>
  <si>
    <t>HDFCLIFE</t>
  </si>
  <si>
    <t>HEROMOTOCO</t>
  </si>
  <si>
    <t>HFCL</t>
  </si>
  <si>
    <t>HINDALCO</t>
  </si>
  <si>
    <t>HINDPETRO</t>
  </si>
  <si>
    <t>HINDUNILVR</t>
  </si>
  <si>
    <t>HINDZINC</t>
  </si>
  <si>
    <t>HUDCO</t>
  </si>
  <si>
    <t>ICICIBANK</t>
  </si>
  <si>
    <t>ICICIGI</t>
  </si>
  <si>
    <t>ICICIPRULI</t>
  </si>
  <si>
    <t>IDEA</t>
  </si>
  <si>
    <t>IDFCFIRSTB</t>
  </si>
  <si>
    <t>IEX</t>
  </si>
  <si>
    <t>IGL</t>
  </si>
  <si>
    <t>IIFL</t>
  </si>
  <si>
    <t>INDHOTEL</t>
  </si>
  <si>
    <t>INDIANB</t>
  </si>
  <si>
    <t>INDIGO</t>
  </si>
  <si>
    <t>INDUSINDBK</t>
  </si>
  <si>
    <t>INDUSTOWER</t>
  </si>
  <si>
    <t>INFY</t>
  </si>
  <si>
    <t>INOXWIND</t>
  </si>
  <si>
    <t>IOC</t>
  </si>
  <si>
    <t>IRCTC</t>
  </si>
  <si>
    <t>IREDA</t>
  </si>
  <si>
    <t>IRFC</t>
  </si>
  <si>
    <t>ITC</t>
  </si>
  <si>
    <t>JINDALSTEL</t>
  </si>
  <si>
    <t>JIOFIN</t>
  </si>
  <si>
    <t>JSWENERGY</t>
  </si>
  <si>
    <t>JSWSTEEL</t>
  </si>
  <si>
    <t>JUBLFOOD</t>
  </si>
  <si>
    <t>KALYANKJIL</t>
  </si>
  <si>
    <t>KAYNES</t>
  </si>
  <si>
    <t>KEI</t>
  </si>
  <si>
    <t>KFINTECH</t>
  </si>
  <si>
    <t>KOTAKBANK</t>
  </si>
  <si>
    <t>KPITTECH</t>
  </si>
  <si>
    <t>LAURUSLABS</t>
  </si>
  <si>
    <t>LICHSGFIN</t>
  </si>
  <si>
    <t>LICI</t>
  </si>
  <si>
    <t>LODHA</t>
  </si>
  <si>
    <t>LT</t>
  </si>
  <si>
    <t>LTF</t>
  </si>
  <si>
    <t>LTIM</t>
  </si>
  <si>
    <t>LUPIN</t>
  </si>
  <si>
    <t>M&amp;M</t>
  </si>
  <si>
    <t>MANAPPURAM</t>
  </si>
  <si>
    <t>MANKIND</t>
  </si>
  <si>
    <t>MARICO</t>
  </si>
  <si>
    <t>MARUTI</t>
  </si>
  <si>
    <t>MAXHEALTH</t>
  </si>
  <si>
    <t>MAZDOCK</t>
  </si>
  <si>
    <t>MCX</t>
  </si>
  <si>
    <t>MFSL</t>
  </si>
  <si>
    <t>MIDCPNIFTY</t>
  </si>
  <si>
    <t>MOTHERSON</t>
  </si>
  <si>
    <t>MPHASIS</t>
  </si>
  <si>
    <t>MUTHOOTFIN</t>
  </si>
  <si>
    <t>NATIONALUM</t>
  </si>
  <si>
    <t>NAUKRI</t>
  </si>
  <si>
    <t>NBCC</t>
  </si>
  <si>
    <t>NCC</t>
  </si>
  <si>
    <t>NESTLEIND</t>
  </si>
  <si>
    <t>NHPC</t>
  </si>
  <si>
    <t>NIFTYNXT50</t>
  </si>
  <si>
    <t>NMDC</t>
  </si>
  <si>
    <t>NTPC</t>
  </si>
  <si>
    <t>NUVAMA</t>
  </si>
  <si>
    <t>NYKAA</t>
  </si>
  <si>
    <t>OBEROIRLTY</t>
  </si>
  <si>
    <t>OFSS</t>
  </si>
  <si>
    <t>OIL</t>
  </si>
  <si>
    <t>ONGC</t>
  </si>
  <si>
    <t>PAGEIND</t>
  </si>
  <si>
    <t>PATANJALI</t>
  </si>
  <si>
    <t>PAYTM</t>
  </si>
  <si>
    <t>PERSISTENT</t>
  </si>
  <si>
    <t>PETRONET</t>
  </si>
  <si>
    <t>PFC</t>
  </si>
  <si>
    <t>PGEL</t>
  </si>
  <si>
    <t>PHOENIXLTD</t>
  </si>
  <si>
    <t>PIDILITIND</t>
  </si>
  <si>
    <t>PIIND</t>
  </si>
  <si>
    <t>PNB</t>
  </si>
  <si>
    <t>PNBHOUSING</t>
  </si>
  <si>
    <t>POLICYBZR</t>
  </si>
  <si>
    <t>POLYCAB</t>
  </si>
  <si>
    <t>POWERGRID</t>
  </si>
  <si>
    <t>PPLPHARMA</t>
  </si>
  <si>
    <t>PRESTIGE</t>
  </si>
  <si>
    <t>RBLBANK</t>
  </si>
  <si>
    <t>RECLTD</t>
  </si>
  <si>
    <t>RELIANCE</t>
  </si>
  <si>
    <t>RVNL</t>
  </si>
  <si>
    <t>SAIL</t>
  </si>
  <si>
    <t>SAMMAANCAP</t>
  </si>
  <si>
    <t>SBICARD</t>
  </si>
  <si>
    <t>SBILIFE</t>
  </si>
  <si>
    <t>SBIN</t>
  </si>
  <si>
    <t>SHREECEM</t>
  </si>
  <si>
    <t>SHRIRAMFIN</t>
  </si>
  <si>
    <t>SIEMENS</t>
  </si>
  <si>
    <t>SOLARINDS</t>
  </si>
  <si>
    <t>SONACOMS</t>
  </si>
  <si>
    <t>SRF</t>
  </si>
  <si>
    <t>SUNPHARMA</t>
  </si>
  <si>
    <t>SUPREMEIND</t>
  </si>
  <si>
    <t>SUZLON</t>
  </si>
  <si>
    <t>SYNGENE</t>
  </si>
  <si>
    <t>TATACHEM</t>
  </si>
  <si>
    <t>TATACONSUM</t>
  </si>
  <si>
    <t>TATAELXSI</t>
  </si>
  <si>
    <t>TATAMOTORS</t>
  </si>
  <si>
    <t>TATAPOWER</t>
  </si>
  <si>
    <t>TATASTEEL</t>
  </si>
  <si>
    <t>TATATECH</t>
  </si>
  <si>
    <t>TCS</t>
  </si>
  <si>
    <t>TECHM</t>
  </si>
  <si>
    <t>TIINDIA</t>
  </si>
  <si>
    <t>TITAGARH</t>
  </si>
  <si>
    <t>TITAN</t>
  </si>
  <si>
    <t>TORNTPHARM</t>
  </si>
  <si>
    <t>TORNTPOWER</t>
  </si>
  <si>
    <t>TRENT</t>
  </si>
  <si>
    <t>TVSMOTOR</t>
  </si>
  <si>
    <t>ULTRACEMCO</t>
  </si>
  <si>
    <t>UNIONBANK</t>
  </si>
  <si>
    <t>UNITDSPR</t>
  </si>
  <si>
    <t>UNOMINDA</t>
  </si>
  <si>
    <t>UPL</t>
  </si>
  <si>
    <t>VBL</t>
  </si>
  <si>
    <t>VEDL</t>
  </si>
  <si>
    <t>VOLTAS</t>
  </si>
  <si>
    <t>WIPRO</t>
  </si>
  <si>
    <t>YESBANK</t>
  </si>
  <si>
    <t>ZYDUSLIFE</t>
  </si>
  <si>
    <t>Option Expiry Date</t>
  </si>
  <si>
    <t>FUT Expiry Date</t>
  </si>
  <si>
    <t>CE</t>
  </si>
  <si>
    <t>PE</t>
  </si>
  <si>
    <t>k+389x3WSNa+I+YUUrT8i5TyF0HEInuTjQP3xnJA3lGlhbsjDrh2LGrHCmzK33kHXE4tpHyK3FT9/S0jVUG+lbyah918hx7eqgookShv1+xUaIbNO4xtnA==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</si>
</sst>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_ * #,##0_ ;_ * \-#,##0_ ;_ * &quot;-&quot;??_ ;_ @_ 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b/>
      <sz val="8"/>
      <color theme="0"/>
      <name val="Aptos Narrow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0"/>
      <color theme="0"/>
      <name val="Amasis MT Pro Black"/>
      <family val="1"/>
    </font>
    <font>
      <b/>
      <u/>
      <sz val="18"/>
      <color theme="0"/>
      <name val="Arial"/>
      <family val="2"/>
    </font>
    <font>
      <b/>
      <sz val="9"/>
      <color theme="0"/>
      <name val="Arial"/>
      <family val="2"/>
    </font>
    <font>
      <sz val="9"/>
      <color rgb="FF4B0082"/>
      <name val="Arial"/>
      <family val="2"/>
    </font>
    <font>
      <b/>
      <u/>
      <sz val="11"/>
      <color theme="0"/>
      <name val="Arial"/>
      <family val="2"/>
    </font>
    <font>
      <sz val="8.5"/>
      <color theme="0"/>
      <name val="Arial"/>
      <family val="2"/>
    </font>
    <font>
      <sz val="11"/>
      <color theme="1"/>
      <name val="Calibri"/>
      <family val="2"/>
      <scheme val="minor"/>
    </font>
    <font>
      <b/>
      <sz val="8.5"/>
      <color theme="0"/>
      <name val="Arial"/>
      <family val="2"/>
    </font>
    <font>
      <b/>
      <u/>
      <sz val="18"/>
      <color theme="0"/>
      <name val="Amasis MT Pro"/>
      <family val="1"/>
    </font>
    <font>
      <sz val="72"/>
      <color theme="0"/>
      <name val="Amasis MT Pro Black"/>
      <family val="1"/>
    </font>
    <font>
      <b/>
      <sz val="8"/>
      <color rgb="FFFF0000"/>
      <name val="Arial"/>
      <family val="2"/>
    </font>
    <font>
      <b/>
      <sz val="8"/>
      <color rgb="FFFF0000"/>
      <name val="Aptos Narrow"/>
      <family val="2"/>
    </font>
    <font>
      <b/>
      <u/>
      <sz val="11"/>
      <color rgb="FF000000"/>
      <name val="Calibri"/>
      <family val="2"/>
    </font>
    <font>
      <sz val="24"/>
      <color rgb="FF5F2987"/>
      <name val="Amasis MT Pro Black"/>
      <family val="1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F298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/>
    <xf numFmtId="0" fontId="1" fillId="0" borderId="1" xfId="0" applyFont="1" applyBorder="1"/>
    <xf numFmtId="0" fontId="3" fillId="2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3" fillId="8" borderId="1" xfId="0" applyFont="1" applyFill="1" applyBorder="1" applyAlignment="1">
      <alignment horizontal="center"/>
    </xf>
    <xf numFmtId="14" fontId="1" fillId="0" borderId="1" xfId="0" applyNumberFormat="1" applyFont="1" applyBorder="1"/>
    <xf numFmtId="22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14" fontId="3" fillId="8" borderId="1" xfId="0" applyNumberFormat="1" applyFont="1" applyFill="1" applyBorder="1" applyAlignment="1">
      <alignment horizontal="center"/>
    </xf>
    <xf numFmtId="165" fontId="1" fillId="0" borderId="1" xfId="1" applyNumberFormat="1" applyFont="1" applyBorder="1"/>
    <xf numFmtId="2" fontId="1" fillId="0" borderId="1" xfId="0" applyNumberFormat="1" applyFont="1" applyBorder="1"/>
    <xf numFmtId="164" fontId="1" fillId="0" borderId="1" xfId="0" applyNumberFormat="1" applyFont="1" applyBorder="1"/>
    <xf numFmtId="0" fontId="5" fillId="0" borderId="1" xfId="0" applyFont="1" applyBorder="1" applyAlignment="1">
      <alignment horizontal="center"/>
    </xf>
    <xf numFmtId="10" fontId="5" fillId="0" borderId="1" xfId="2" applyNumberFormat="1" applyFont="1" applyBorder="1" applyAlignment="1">
      <alignment horizontal="center"/>
    </xf>
    <xf numFmtId="165" fontId="1" fillId="0" borderId="1" xfId="0" applyNumberFormat="1" applyFont="1" applyBorder="1"/>
    <xf numFmtId="0" fontId="3" fillId="7" borderId="1" xfId="0" applyFont="1" applyFill="1" applyBorder="1"/>
    <xf numFmtId="0" fontId="6" fillId="5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6" fillId="5" borderId="2" xfId="0" applyFont="1" applyFill="1" applyBorder="1" applyProtection="1">
      <protection locked="0"/>
    </xf>
    <xf numFmtId="0" fontId="6" fillId="5" borderId="3" xfId="0" applyFont="1" applyFill="1" applyBorder="1" applyProtection="1">
      <protection locked="0"/>
    </xf>
    <xf numFmtId="0" fontId="6" fillId="5" borderId="4" xfId="0" applyFont="1" applyFill="1" applyBorder="1" applyProtection="1">
      <protection locked="0"/>
    </xf>
    <xf numFmtId="0" fontId="6" fillId="5" borderId="5" xfId="0" applyFont="1" applyFill="1" applyBorder="1" applyProtection="1">
      <protection locked="0"/>
    </xf>
    <xf numFmtId="0" fontId="6" fillId="5" borderId="6" xfId="0" applyFont="1" applyFill="1" applyBorder="1" applyProtection="1">
      <protection locked="0"/>
    </xf>
    <xf numFmtId="0" fontId="8" fillId="5" borderId="0" xfId="0" applyFont="1" applyFill="1" applyAlignment="1" applyProtection="1">
      <alignment vertical="center"/>
      <protection locked="0"/>
    </xf>
    <xf numFmtId="0" fontId="9" fillId="5" borderId="0" xfId="0" applyFont="1" applyFill="1" applyProtection="1">
      <protection locked="0"/>
    </xf>
    <xf numFmtId="0" fontId="7" fillId="5" borderId="0" xfId="0" applyFont="1" applyFill="1" applyAlignment="1" applyProtection="1">
      <alignment vertical="center"/>
      <protection locked="0"/>
    </xf>
    <xf numFmtId="0" fontId="8" fillId="5" borderId="0" xfId="0" applyFont="1" applyFill="1" applyAlignment="1" applyProtection="1">
      <alignment horizontal="center" vertical="center"/>
      <protection locked="0"/>
    </xf>
    <xf numFmtId="0" fontId="12" fillId="5" borderId="0" xfId="0" applyFont="1" applyFill="1" applyProtection="1">
      <protection locked="0"/>
    </xf>
    <xf numFmtId="0" fontId="2" fillId="5" borderId="0" xfId="0" applyFont="1" applyFill="1" applyProtection="1">
      <protection locked="0"/>
    </xf>
    <xf numFmtId="0" fontId="6" fillId="5" borderId="7" xfId="0" applyFont="1" applyFill="1" applyBorder="1" applyProtection="1">
      <protection locked="0"/>
    </xf>
    <xf numFmtId="0" fontId="6" fillId="5" borderId="8" xfId="0" applyFont="1" applyFill="1" applyBorder="1" applyProtection="1">
      <protection locked="0"/>
    </xf>
    <xf numFmtId="0" fontId="6" fillId="5" borderId="9" xfId="0" applyFont="1" applyFill="1" applyBorder="1" applyProtection="1">
      <protection locked="0"/>
    </xf>
    <xf numFmtId="0" fontId="17" fillId="10" borderId="1" xfId="0" applyFont="1" applyFill="1" applyBorder="1"/>
    <xf numFmtId="1" fontId="3" fillId="8" borderId="1" xfId="0" applyNumberFormat="1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2" fillId="5" borderId="0" xfId="0" applyFont="1" applyFill="1" applyAlignment="1">
      <alignment horizontal="center"/>
    </xf>
    <xf numFmtId="0" fontId="16" fillId="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0" fillId="6" borderId="0" xfId="0" applyFont="1" applyFill="1" applyAlignment="1" applyProtection="1">
      <alignment horizontal="left" vertical="center"/>
      <protection locked="0"/>
    </xf>
    <xf numFmtId="0" fontId="20" fillId="11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2" fillId="8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2" fontId="5" fillId="10" borderId="1" xfId="0" applyNumberFormat="1" applyFont="1" applyFill="1" applyBorder="1" applyAlignment="1">
      <alignment horizontal="center" vertical="center"/>
    </xf>
    <xf numFmtId="1" fontId="5" fillId="10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20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F29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66675</xdr:colOff>
      <xdr:row>2</xdr:row>
      <xdr:rowOff>57149</xdr:rowOff>
    </xdr:from>
    <xdr:to>
      <xdr:col>19</xdr:col>
      <xdr:colOff>379095</xdr:colOff>
      <xdr:row>8</xdr:row>
      <xdr:rowOff>41155</xdr:rowOff>
    </xdr:to>
    <xdr:pic>
      <xdr:nvPicPr>
        <xdr:cNvPr id="4" name="Picture 3" descr="Why is options trading becoming more popular in the United Kingdom? - Plan  Trustler | The blogger evolution">
          <a:extLst>
            <a:ext uri="{FF2B5EF4-FFF2-40B4-BE49-F238E27FC236}">
              <a16:creationId xmlns:a16="http://schemas.microsoft.com/office/drawing/2014/main" id="{22248698-5BD0-E19B-87B5-3427FC8F467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059" t="16998" r="24853" b="16585"/>
        <a:stretch/>
      </xdr:blipFill>
      <xdr:spPr bwMode="auto">
        <a:xfrm>
          <a:off x="10048875" y="342899"/>
          <a:ext cx="1531620" cy="89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66676</xdr:colOff>
      <xdr:row>1</xdr:row>
      <xdr:rowOff>53341</xdr:rowOff>
    </xdr:from>
    <xdr:to>
      <xdr:col>2</xdr:col>
      <xdr:colOff>291465</xdr:colOff>
      <xdr:row>7</xdr:row>
      <xdr:rowOff>29135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0CD83AB-8B92-E321-012C-DF0E3ACFA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196216"/>
          <a:ext cx="838199" cy="8520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22860</xdr:rowOff>
        </xdr:from>
        <xdr:to>
          <xdr:col>2</xdr:col>
          <xdr:colOff>373380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7</xdr:row>
          <xdr:rowOff>30480</xdr:rowOff>
        </xdr:from>
        <xdr:to>
          <xdr:col>0</xdr:col>
          <xdr:colOff>1051560</xdr:colOff>
          <xdr:row>9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OPTION CHAIN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493D4-2959-4293-82FE-94272926CDEE}">
  <sheetPr codeName="Sheet1"/>
  <dimension ref="A1:AZ86"/>
  <sheetViews>
    <sheetView topLeftCell="D20" zoomScaleNormal="100" workbookViewId="0">
      <selection activeCell="R27" sqref="R27:U27"/>
    </sheetView>
  </sheetViews>
  <sheetFormatPr defaultColWidth="8.88671875" defaultRowHeight="11.4" x14ac:dyDescent="0.2"/>
  <cols>
    <col min="1" max="1" width="3.33203125" style="20" customWidth="1"/>
    <col min="2" max="16384" width="8.88671875" style="20"/>
  </cols>
  <sheetData>
    <row r="1" spans="1:52" ht="11.4" customHeight="1" thickBot="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2" x14ac:dyDescent="0.2">
      <c r="A2" s="19"/>
      <c r="B2" s="21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3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</row>
    <row r="3" spans="1:52" ht="11.4" customHeight="1" x14ac:dyDescent="0.2">
      <c r="A3" s="19"/>
      <c r="B3" s="24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25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ht="12" customHeight="1" x14ac:dyDescent="0.2">
      <c r="A4" s="19"/>
      <c r="B4" s="24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25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2">
      <c r="A5" s="19"/>
      <c r="B5" s="24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25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ht="11.4" customHeight="1" x14ac:dyDescent="0.2">
      <c r="A6" s="19"/>
      <c r="B6" s="24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2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ht="12" customHeight="1" x14ac:dyDescent="0.2">
      <c r="A7" s="19"/>
      <c r="B7" s="24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5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ht="14.4" customHeight="1" x14ac:dyDescent="0.2">
      <c r="A8" s="19"/>
      <c r="B8" s="24"/>
      <c r="C8" s="39" t="s">
        <v>118</v>
      </c>
      <c r="D8" s="39"/>
      <c r="E8" s="39"/>
      <c r="F8" s="39"/>
      <c r="G8" s="39"/>
      <c r="H8" s="39"/>
      <c r="I8" s="39"/>
      <c r="J8" s="39"/>
      <c r="K8" s="39"/>
      <c r="L8" s="39"/>
      <c r="M8" s="39"/>
      <c r="N8" s="19"/>
      <c r="O8" s="19"/>
      <c r="P8" s="19"/>
      <c r="Q8" s="19"/>
      <c r="R8" s="19"/>
      <c r="S8" s="19"/>
      <c r="T8" s="19"/>
      <c r="U8" s="19"/>
      <c r="V8" s="19"/>
      <c r="W8" s="25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2">
      <c r="A9" s="19"/>
      <c r="B9" s="24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19"/>
      <c r="O9" s="19"/>
      <c r="P9" s="19"/>
      <c r="Q9" s="19"/>
      <c r="R9" s="19"/>
      <c r="S9" s="19"/>
      <c r="T9" s="19"/>
      <c r="U9" s="19"/>
      <c r="V9" s="19"/>
      <c r="W9" s="25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ht="11.4" customHeight="1" x14ac:dyDescent="0.2">
      <c r="A10" s="19"/>
      <c r="B10" s="24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19"/>
      <c r="O10" s="19"/>
      <c r="P10" s="19"/>
      <c r="Q10" s="19"/>
      <c r="R10" s="19"/>
      <c r="S10" s="19"/>
      <c r="T10" s="19"/>
      <c r="U10" s="19"/>
      <c r="V10" s="19"/>
      <c r="W10" s="25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ht="11.4" customHeight="1" x14ac:dyDescent="0.2">
      <c r="A11" s="19"/>
      <c r="B11" s="24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19"/>
      <c r="O11" s="19"/>
      <c r="P11" s="40" t="s">
        <v>28</v>
      </c>
      <c r="Q11" s="40"/>
      <c r="R11" s="40"/>
      <c r="S11" s="40"/>
      <c r="T11" s="40"/>
      <c r="U11" s="40"/>
      <c r="V11" s="40"/>
      <c r="W11" s="25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ht="12" customHeight="1" x14ac:dyDescent="0.2">
      <c r="A12" s="19"/>
      <c r="B12" s="24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19"/>
      <c r="O12" s="19"/>
      <c r="P12" s="40"/>
      <c r="Q12" s="40"/>
      <c r="R12" s="40"/>
      <c r="S12" s="40"/>
      <c r="T12" s="40"/>
      <c r="U12" s="40"/>
      <c r="V12" s="40"/>
      <c r="W12" s="25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ht="11.4" customHeight="1" x14ac:dyDescent="0.2">
      <c r="A13" s="19"/>
      <c r="B13" s="24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19"/>
      <c r="O13" s="19"/>
      <c r="P13" s="26"/>
      <c r="Q13" s="26"/>
      <c r="R13" s="26"/>
      <c r="S13" s="26"/>
      <c r="T13" s="26"/>
      <c r="U13" s="26"/>
      <c r="V13" s="26"/>
      <c r="W13" s="25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ht="11.4" customHeight="1" x14ac:dyDescent="0.25">
      <c r="A14" s="19"/>
      <c r="B14" s="24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19"/>
      <c r="O14" s="19"/>
      <c r="P14" s="27" t="s">
        <v>29</v>
      </c>
      <c r="Q14" s="19"/>
      <c r="R14" s="41"/>
      <c r="S14" s="41"/>
      <c r="T14" s="41"/>
      <c r="U14" s="41"/>
      <c r="V14" s="19"/>
      <c r="W14" s="25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ht="11.4" customHeight="1" x14ac:dyDescent="0.25">
      <c r="A15" s="19"/>
      <c r="B15" s="24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19"/>
      <c r="O15" s="19"/>
      <c r="P15" s="27"/>
      <c r="Q15" s="27"/>
      <c r="R15" s="27"/>
      <c r="S15" s="27"/>
      <c r="T15" s="27"/>
      <c r="U15" s="27"/>
      <c r="V15" s="27"/>
      <c r="W15" s="25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ht="12" customHeight="1" x14ac:dyDescent="0.25">
      <c r="A16" s="19"/>
      <c r="B16" s="24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19"/>
      <c r="O16" s="19"/>
      <c r="P16" s="27" t="s">
        <v>30</v>
      </c>
      <c r="Q16" s="19"/>
      <c r="R16" s="41"/>
      <c r="S16" s="41"/>
      <c r="T16" s="41"/>
      <c r="U16" s="41"/>
      <c r="V16" s="19"/>
      <c r="W16" s="25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ht="11.4" customHeight="1" x14ac:dyDescent="0.25">
      <c r="A17" s="19"/>
      <c r="B17" s="24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19"/>
      <c r="O17" s="19"/>
      <c r="P17" s="27"/>
      <c r="Q17" s="27"/>
      <c r="R17" s="27"/>
      <c r="S17" s="27"/>
      <c r="T17" s="27"/>
      <c r="U17" s="27"/>
      <c r="V17" s="27"/>
      <c r="W17" s="25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ht="12" customHeight="1" x14ac:dyDescent="0.25">
      <c r="A18" s="19"/>
      <c r="B18" s="24"/>
      <c r="C18" s="42" t="s">
        <v>120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19"/>
      <c r="O18" s="19"/>
      <c r="P18" s="27" t="s">
        <v>31</v>
      </c>
      <c r="Q18" s="19"/>
      <c r="R18" s="41"/>
      <c r="S18" s="41"/>
      <c r="T18" s="41"/>
      <c r="U18" s="41"/>
      <c r="V18" s="19"/>
      <c r="W18" s="25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ht="11.4" customHeight="1" x14ac:dyDescent="0.25">
      <c r="A19" s="19"/>
      <c r="B19" s="24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19"/>
      <c r="O19" s="19"/>
      <c r="P19" s="27"/>
      <c r="Q19" s="27"/>
      <c r="R19" s="27"/>
      <c r="S19" s="27"/>
      <c r="T19" s="27"/>
      <c r="U19" s="27"/>
      <c r="V19" s="19"/>
      <c r="W19" s="25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ht="11.4" customHeight="1" x14ac:dyDescent="0.25">
      <c r="A20" s="19"/>
      <c r="B20" s="24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19"/>
      <c r="O20" s="19"/>
      <c r="P20" s="27" t="s">
        <v>32</v>
      </c>
      <c r="Q20" s="19"/>
      <c r="R20" s="41"/>
      <c r="S20" s="41"/>
      <c r="T20" s="41"/>
      <c r="U20" s="41"/>
      <c r="V20" s="19"/>
      <c r="W20" s="25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ht="11.4" customHeight="1" x14ac:dyDescent="0.2">
      <c r="A21" s="19"/>
      <c r="B21" s="24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19"/>
      <c r="O21" s="19"/>
      <c r="P21" s="19"/>
      <c r="Q21" s="19"/>
      <c r="R21" s="19"/>
      <c r="S21" s="19"/>
      <c r="T21" s="19"/>
      <c r="U21" s="19"/>
      <c r="V21" s="19"/>
      <c r="W21" s="25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ht="11.4" customHeight="1" x14ac:dyDescent="0.2">
      <c r="A22" s="19"/>
      <c r="B22" s="24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19"/>
      <c r="O22" s="19"/>
      <c r="P22" s="19"/>
      <c r="Q22" s="19"/>
      <c r="R22" s="19"/>
      <c r="S22" s="19"/>
      <c r="T22" s="19"/>
      <c r="U22" s="19"/>
      <c r="V22" s="19"/>
      <c r="W22" s="25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ht="11.4" customHeight="1" x14ac:dyDescent="0.2">
      <c r="A23" s="19"/>
      <c r="B23" s="24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25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ht="11.4" customHeight="1" x14ac:dyDescent="0.2">
      <c r="A24" s="19"/>
      <c r="B24" s="24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40" t="s">
        <v>33</v>
      </c>
      <c r="Q24" s="40"/>
      <c r="R24" s="40"/>
      <c r="S24" s="40"/>
      <c r="T24" s="40"/>
      <c r="U24" s="40"/>
      <c r="V24" s="40"/>
      <c r="W24" s="25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ht="11.4" customHeight="1" x14ac:dyDescent="0.2">
      <c r="A25" s="19"/>
      <c r="B25" s="24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40"/>
      <c r="Q25" s="40"/>
      <c r="R25" s="40"/>
      <c r="S25" s="40"/>
      <c r="T25" s="40"/>
      <c r="U25" s="40"/>
      <c r="V25" s="40"/>
      <c r="W25" s="25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ht="12.6" customHeight="1" x14ac:dyDescent="0.2">
      <c r="A26" s="19"/>
      <c r="B26" s="24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6"/>
      <c r="T26" s="26"/>
      <c r="U26" s="26"/>
      <c r="V26" s="29"/>
      <c r="W26" s="25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ht="12" x14ac:dyDescent="0.25">
      <c r="A27" s="19"/>
      <c r="B27" s="24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7" t="s">
        <v>34</v>
      </c>
      <c r="Q27" s="19"/>
      <c r="R27" s="41" t="s">
        <v>122</v>
      </c>
      <c r="S27" s="41"/>
      <c r="T27" s="41"/>
      <c r="U27" s="41"/>
      <c r="V27" s="19"/>
      <c r="W27" s="25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ht="12" x14ac:dyDescent="0.25">
      <c r="A28" s="19"/>
      <c r="B28" s="24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7"/>
      <c r="Q28" s="27"/>
      <c r="R28" s="27"/>
      <c r="S28" s="27"/>
      <c r="T28" s="27"/>
      <c r="U28" s="27"/>
      <c r="V28" s="19"/>
      <c r="W28" s="25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ht="14.4" customHeight="1" x14ac:dyDescent="0.25">
      <c r="A29" s="19"/>
      <c r="B29" s="24"/>
      <c r="C29" s="43" t="s">
        <v>35</v>
      </c>
      <c r="D29" s="43"/>
      <c r="E29" s="43"/>
      <c r="F29" s="43"/>
      <c r="G29" s="43"/>
      <c r="H29" s="43"/>
      <c r="I29" s="19"/>
      <c r="J29" s="19"/>
      <c r="K29" s="19"/>
      <c r="L29" s="19"/>
      <c r="M29" s="19"/>
      <c r="N29" s="19"/>
      <c r="O29" s="19"/>
      <c r="P29" s="27" t="s">
        <v>36</v>
      </c>
      <c r="Q29" s="19"/>
      <c r="R29" s="41" t="s">
        <v>121</v>
      </c>
      <c r="S29" s="41"/>
      <c r="T29" s="41"/>
      <c r="U29" s="41"/>
      <c r="V29" s="19"/>
      <c r="W29" s="25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ht="11.4" customHeight="1" x14ac:dyDescent="0.2">
      <c r="A30" s="19"/>
      <c r="B30" s="24"/>
      <c r="C30" s="43"/>
      <c r="D30" s="43"/>
      <c r="E30" s="43"/>
      <c r="F30" s="43"/>
      <c r="G30" s="43"/>
      <c r="H30" s="43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25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ht="12" customHeight="1" x14ac:dyDescent="0.2">
      <c r="A31" s="19"/>
      <c r="B31" s="24"/>
      <c r="C31" s="38" t="s">
        <v>116</v>
      </c>
      <c r="D31" s="38"/>
      <c r="E31" s="38"/>
      <c r="F31" s="38"/>
      <c r="G31" s="38"/>
      <c r="H31" s="38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25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2">
      <c r="A32" s="19"/>
      <c r="B32" s="24"/>
      <c r="C32" s="38" t="s">
        <v>117</v>
      </c>
      <c r="D32" s="38"/>
      <c r="E32" s="38"/>
      <c r="F32" s="38"/>
      <c r="G32" s="38"/>
      <c r="H32" s="38"/>
      <c r="I32" s="19"/>
      <c r="J32" s="19"/>
      <c r="K32" s="19"/>
      <c r="L32" s="19"/>
      <c r="M32" s="19"/>
      <c r="N32" s="19"/>
      <c r="O32" s="19"/>
      <c r="P32" s="19"/>
      <c r="Q32" s="19"/>
      <c r="R32" s="30"/>
      <c r="S32" s="31"/>
      <c r="T32" s="19"/>
      <c r="U32" s="19"/>
      <c r="V32" s="19"/>
      <c r="W32" s="25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ht="12" thickBot="1" x14ac:dyDescent="0.25">
      <c r="A33" s="19"/>
      <c r="B33" s="32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4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2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2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2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2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2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2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2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2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2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2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x14ac:dyDescent="0.2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2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x14ac:dyDescent="0.2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</row>
    <row r="47" spans="1:52" x14ac:dyDescent="0.2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</row>
    <row r="48" spans="1:52" x14ac:dyDescent="0.2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</row>
    <row r="49" spans="1:52" x14ac:dyDescent="0.2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</row>
    <row r="50" spans="1:52" x14ac:dyDescent="0.2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</row>
    <row r="51" spans="1:52" x14ac:dyDescent="0.2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</row>
    <row r="52" spans="1:52" x14ac:dyDescent="0.2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</row>
    <row r="53" spans="1:52" x14ac:dyDescent="0.2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</row>
    <row r="54" spans="1:52" x14ac:dyDescent="0.2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</row>
    <row r="55" spans="1:52" x14ac:dyDescent="0.2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</row>
    <row r="56" spans="1:52" x14ac:dyDescent="0.2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</row>
    <row r="57" spans="1:52" x14ac:dyDescent="0.2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</row>
    <row r="58" spans="1:52" x14ac:dyDescent="0.2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</row>
    <row r="59" spans="1:52" x14ac:dyDescent="0.2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</row>
    <row r="60" spans="1:52" x14ac:dyDescent="0.2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</row>
    <row r="61" spans="1:52" x14ac:dyDescent="0.2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</row>
    <row r="62" spans="1:52" x14ac:dyDescent="0.2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</row>
    <row r="63" spans="1:52" x14ac:dyDescent="0.2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</row>
    <row r="64" spans="1:52" x14ac:dyDescent="0.2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</row>
    <row r="65" spans="1:52" x14ac:dyDescent="0.2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</row>
    <row r="66" spans="1:52" x14ac:dyDescent="0.2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</row>
    <row r="67" spans="1:52" x14ac:dyDescent="0.2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</row>
    <row r="68" spans="1:52" x14ac:dyDescent="0.2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</row>
    <row r="69" spans="1:52" x14ac:dyDescent="0.2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</row>
    <row r="70" spans="1:52" x14ac:dyDescent="0.2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</row>
    <row r="71" spans="1:52" x14ac:dyDescent="0.2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</row>
    <row r="72" spans="1:52" x14ac:dyDescent="0.2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</row>
    <row r="73" spans="1:52" x14ac:dyDescent="0.2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</row>
    <row r="74" spans="1:52" x14ac:dyDescent="0.2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</row>
    <row r="75" spans="1:52" x14ac:dyDescent="0.2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</row>
    <row r="76" spans="1:52" x14ac:dyDescent="0.2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</row>
    <row r="77" spans="1:52" x14ac:dyDescent="0.2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</row>
    <row r="78" spans="1:52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</row>
    <row r="79" spans="1:52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</row>
    <row r="80" spans="1:52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</row>
    <row r="81" spans="1:52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</row>
    <row r="82" spans="1:52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</row>
    <row r="83" spans="1:52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</row>
    <row r="84" spans="1:52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</row>
    <row r="85" spans="1:52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</row>
    <row r="86" spans="1:52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</row>
  </sheetData>
  <sheetProtection selectLockedCells="1"/>
  <mergeCells count="13">
    <mergeCell ref="C32:H32"/>
    <mergeCell ref="C8:M15"/>
    <mergeCell ref="P11:V12"/>
    <mergeCell ref="R14:U14"/>
    <mergeCell ref="R16:U16"/>
    <mergeCell ref="R18:U18"/>
    <mergeCell ref="R20:U20"/>
    <mergeCell ref="C18:M22"/>
    <mergeCell ref="P24:V25"/>
    <mergeCell ref="R27:U27"/>
    <mergeCell ref="C29:H30"/>
    <mergeCell ref="R29:U29"/>
    <mergeCell ref="C31:H3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T615"/>
  <sheetViews>
    <sheetView showGridLines="0" tabSelected="1" zoomScaleNormal="100" workbookViewId="0">
      <selection activeCell="B4" sqref="B4"/>
    </sheetView>
  </sheetViews>
  <sheetFormatPr defaultColWidth="8.88671875" defaultRowHeight="10.199999999999999" x14ac:dyDescent="0.2"/>
  <cols>
    <col min="1" max="1" width="17" style="1" customWidth="1"/>
    <col min="2" max="5" width="9.6640625" style="1" customWidth="1"/>
    <col min="6" max="6" width="10.5546875" style="1" bestFit="1" customWidth="1"/>
    <col min="7" max="8" width="9.6640625" style="1" customWidth="1"/>
    <col min="9" max="9" width="6.6640625" style="1" customWidth="1"/>
    <col min="10" max="11" width="9.6640625" style="1" customWidth="1"/>
    <col min="12" max="12" width="10.5546875" style="1" bestFit="1" customWidth="1"/>
    <col min="13" max="16" width="9.6640625" style="1" customWidth="1"/>
    <col min="17" max="17" width="17" style="1" customWidth="1"/>
    <col min="18" max="19" width="7.6640625" style="1" customWidth="1"/>
    <col min="20" max="20" width="12.6640625" style="1" customWidth="1"/>
    <col min="21" max="16384" width="8.88671875" style="1"/>
  </cols>
  <sheetData>
    <row r="1" spans="1:20" ht="3.6" customHeight="1" x14ac:dyDescent="0.2"/>
    <row r="2" spans="1:20" ht="10.8" x14ac:dyDescent="0.25">
      <c r="A2" s="18" t="s">
        <v>9</v>
      </c>
      <c r="B2" s="6" t="s">
        <v>126</v>
      </c>
      <c r="D2" s="55" t="s">
        <v>115</v>
      </c>
      <c r="E2" s="55"/>
      <c r="F2" s="4" t="s">
        <v>12</v>
      </c>
      <c r="G2" s="4" t="s">
        <v>14</v>
      </c>
      <c r="I2" s="51" t="s">
        <v>15</v>
      </c>
      <c r="J2" s="51"/>
      <c r="K2" s="51"/>
      <c r="L2" s="4" t="s">
        <v>14</v>
      </c>
      <c r="M2" s="4" t="s">
        <v>21</v>
      </c>
      <c r="N2" s="4" t="s">
        <v>22</v>
      </c>
      <c r="P2" s="4" t="s">
        <v>89</v>
      </c>
      <c r="R2" s="51" t="s">
        <v>8</v>
      </c>
      <c r="S2" s="51"/>
      <c r="T2" s="53">
        <v>0.66</v>
      </c>
    </row>
    <row r="3" spans="1:20" ht="10.8" x14ac:dyDescent="0.25">
      <c r="A3" s="18" t="s">
        <v>10</v>
      </c>
      <c r="B3" s="11">
        <v>45937</v>
      </c>
      <c r="D3" s="46" t="s">
        <v>24</v>
      </c>
      <c r="E3" s="47"/>
      <c r="F3" s="9">
        <v>24728.55</v>
      </c>
      <c r="G3" s="9">
        <v>25049.7</v>
      </c>
      <c r="I3" s="44" t="s">
        <v>15</v>
      </c>
      <c r="J3" s="44"/>
      <c r="K3" s="44"/>
      <c r="L3" s="9">
        <v>908925</v>
      </c>
      <c r="M3" s="9">
        <v>4163753</v>
      </c>
      <c r="N3" s="9">
        <v>2734234</v>
      </c>
      <c r="P3" s="45" t="str">
        <f t="shared" ref="P3" si="0">IFERROR(IF(OR(SUM(D13:D200)=0,SUM(N13:N200)=0),"",IF(SUM(D13:D200)&gt;SUM(N13:N200),"BEARISH","BULLISH")),"")</f>
        <v>BULLISH</v>
      </c>
      <c r="R3" s="51"/>
      <c r="S3" s="51"/>
      <c r="T3" s="53"/>
    </row>
    <row r="4" spans="1:20" ht="10.8" x14ac:dyDescent="0.25">
      <c r="A4" s="18" t="s">
        <v>11</v>
      </c>
      <c r="B4" s="11">
        <v>45958</v>
      </c>
      <c r="D4" s="46" t="s">
        <v>25</v>
      </c>
      <c r="E4" s="47"/>
      <c r="F4" s="9">
        <v>24791.3</v>
      </c>
      <c r="G4" s="9">
        <v>25090</v>
      </c>
      <c r="I4" s="44" t="s">
        <v>16</v>
      </c>
      <c r="J4" s="44"/>
      <c r="K4" s="44"/>
      <c r="L4" s="9">
        <v>69825</v>
      </c>
      <c r="M4" s="9">
        <v>585785</v>
      </c>
      <c r="N4" s="9">
        <v>859687</v>
      </c>
      <c r="P4" s="45"/>
    </row>
    <row r="5" spans="1:20" x14ac:dyDescent="0.2">
      <c r="D5" s="46" t="s">
        <v>26</v>
      </c>
      <c r="E5" s="47"/>
      <c r="F5" s="9">
        <v>24606.2</v>
      </c>
      <c r="G5" s="9">
        <v>24904.1</v>
      </c>
      <c r="I5" s="44" t="s">
        <v>17</v>
      </c>
      <c r="J5" s="44"/>
      <c r="K5" s="44"/>
      <c r="L5" s="10"/>
      <c r="M5" s="9">
        <v>308550</v>
      </c>
      <c r="N5" s="9">
        <v>245940</v>
      </c>
      <c r="R5" s="51" t="s">
        <v>27</v>
      </c>
      <c r="S5" s="51"/>
      <c r="T5" s="54">
        <v>24750</v>
      </c>
    </row>
    <row r="6" spans="1:20" ht="10.8" x14ac:dyDescent="0.25">
      <c r="A6" s="35" t="s">
        <v>119</v>
      </c>
      <c r="B6" s="36">
        <v>20</v>
      </c>
      <c r="D6" s="46" t="s">
        <v>88</v>
      </c>
      <c r="E6" s="47"/>
      <c r="F6" s="9">
        <v>24654.7</v>
      </c>
      <c r="G6" s="9">
        <v>24946.3</v>
      </c>
      <c r="I6" s="44" t="s">
        <v>18</v>
      </c>
      <c r="J6" s="44"/>
      <c r="K6" s="44"/>
      <c r="L6" s="10"/>
      <c r="M6" s="9">
        <v>140429</v>
      </c>
      <c r="N6" s="9">
        <v>157558</v>
      </c>
      <c r="P6" s="4" t="s">
        <v>90</v>
      </c>
      <c r="R6" s="51"/>
      <c r="S6" s="51"/>
      <c r="T6" s="54"/>
    </row>
    <row r="7" spans="1:20" x14ac:dyDescent="0.2">
      <c r="D7" s="46" t="s">
        <v>0</v>
      </c>
      <c r="E7" s="47"/>
      <c r="F7" s="15">
        <v>24716.25</v>
      </c>
      <c r="G7" s="15">
        <v>25007.1</v>
      </c>
      <c r="I7" s="44" t="s">
        <v>19</v>
      </c>
      <c r="J7" s="44"/>
      <c r="K7" s="44"/>
      <c r="L7" s="10"/>
      <c r="M7" s="9">
        <v>24800</v>
      </c>
      <c r="N7" s="9">
        <v>24600</v>
      </c>
      <c r="P7" s="45" t="str">
        <f t="shared" ref="P7" si="1">IFERROR(IF(OR(SUM(E13:E200)=0,SUM(M13:M200)=0),"",IF(SUM(E13:E200)&gt;SUM(M13:M200),"BEARISH","BULLISH")),"")</f>
        <v>BEARISH</v>
      </c>
    </row>
    <row r="8" spans="1:20" x14ac:dyDescent="0.2">
      <c r="D8" s="46" t="s">
        <v>13</v>
      </c>
      <c r="E8" s="47"/>
      <c r="F8" s="15">
        <v>61.549999999999272</v>
      </c>
      <c r="G8" s="15">
        <v>60.799999999999272</v>
      </c>
      <c r="I8" s="44" t="s">
        <v>20</v>
      </c>
      <c r="J8" s="44"/>
      <c r="K8" s="44"/>
      <c r="L8" s="10"/>
      <c r="M8" s="9">
        <v>24800</v>
      </c>
      <c r="N8" s="9">
        <v>24700</v>
      </c>
      <c r="P8" s="45"/>
      <c r="R8" s="51" t="s">
        <v>91</v>
      </c>
      <c r="S8" s="51"/>
      <c r="T8" s="53">
        <v>11.32</v>
      </c>
    </row>
    <row r="9" spans="1:20" x14ac:dyDescent="0.2">
      <c r="D9" s="46" t="s">
        <v>23</v>
      </c>
      <c r="E9" s="47"/>
      <c r="F9" s="16">
        <v>2.4902645020987921E-3</v>
      </c>
      <c r="G9" s="16">
        <v>2.4313095080996708E-3</v>
      </c>
      <c r="R9" s="51"/>
      <c r="S9" s="51"/>
      <c r="T9" s="53"/>
    </row>
    <row r="10" spans="1:20" ht="8.4" customHeight="1" x14ac:dyDescent="0.2">
      <c r="D10" s="5"/>
      <c r="E10" s="5"/>
    </row>
    <row r="11" spans="1:20" x14ac:dyDescent="0.2">
      <c r="A11" s="49" t="s">
        <v>6</v>
      </c>
      <c r="B11" s="49"/>
      <c r="C11" s="49"/>
      <c r="D11" s="49"/>
      <c r="E11" s="49"/>
      <c r="F11" s="49"/>
      <c r="G11" s="49"/>
      <c r="H11" s="49"/>
      <c r="I11" s="50" t="s">
        <v>5</v>
      </c>
      <c r="J11" s="52" t="s">
        <v>7</v>
      </c>
      <c r="K11" s="52"/>
      <c r="L11" s="52"/>
      <c r="M11" s="52"/>
      <c r="N11" s="52"/>
      <c r="O11" s="52"/>
      <c r="P11" s="52"/>
      <c r="Q11" s="52"/>
      <c r="R11" s="48" t="s">
        <v>114</v>
      </c>
      <c r="S11" s="48"/>
      <c r="T11" s="48"/>
    </row>
    <row r="12" spans="1:20" x14ac:dyDescent="0.2">
      <c r="A12" s="4" t="s">
        <v>1</v>
      </c>
      <c r="B12" s="4" t="s">
        <v>99</v>
      </c>
      <c r="C12" s="4" t="s">
        <v>105</v>
      </c>
      <c r="D12" s="4" t="s">
        <v>104</v>
      </c>
      <c r="E12" s="4" t="s">
        <v>103</v>
      </c>
      <c r="F12" s="4" t="s">
        <v>102</v>
      </c>
      <c r="G12" s="4" t="s">
        <v>13</v>
      </c>
      <c r="H12" s="4" t="s">
        <v>0</v>
      </c>
      <c r="I12" s="51"/>
      <c r="J12" s="4" t="s">
        <v>0</v>
      </c>
      <c r="K12" s="4" t="s">
        <v>13</v>
      </c>
      <c r="L12" s="4" t="s">
        <v>102</v>
      </c>
      <c r="M12" s="4" t="s">
        <v>103</v>
      </c>
      <c r="N12" s="4" t="s">
        <v>104</v>
      </c>
      <c r="O12" s="4" t="s">
        <v>105</v>
      </c>
      <c r="P12" s="4" t="s">
        <v>99</v>
      </c>
      <c r="Q12" s="4" t="s">
        <v>1</v>
      </c>
      <c r="R12" s="4" t="s">
        <v>2</v>
      </c>
      <c r="S12" s="4" t="s">
        <v>3</v>
      </c>
      <c r="T12" s="4" t="s">
        <v>4</v>
      </c>
    </row>
    <row r="13" spans="1:20" x14ac:dyDescent="0.2">
      <c r="A13" s="9" t="str">
        <f t="shared" ref="A13:A53" si="2">IFERROR(IF(OR(D13="",G13=""),"",IF(AND(D13&gt;0,G13&gt;0),"FRESH_LONG",IF(AND(D13&lt;0,G13&lt;0),"LONG_UNWIND",IF(AND(D13&gt;0,G13&lt;0),"FRESH_SHORT",IF(AND(D13&lt;0,G13&gt;0),"SHORT_COVER",""))))),"")</f>
        <v>SHORT_COVER</v>
      </c>
      <c r="B13" s="13">
        <f>IFERROR(VLOOKUP($I13,Option_Chain_Raw!$E:$AD,VLOOKUP(B$12,Option_Chain_Raw!$BG$1:$BH$26,2,0),0),"")</f>
        <v>1081.4100000000001</v>
      </c>
      <c r="C13" s="14">
        <f>IFERROR(VLOOKUP($I13,Option_Chain_Raw!$E:$AD,VLOOKUP(C$12,Option_Chain_Raw!$BG$1:$BH$26,2,0),0),"")</f>
        <v>0.55584273415229823</v>
      </c>
      <c r="D13" s="2">
        <f>IFERROR(VLOOKUP($I13,Option_Chain_Raw!$E:$AD,VLOOKUP(D$12,Option_Chain_Raw!$BG$1:$BH$26,2,0),0),"")</f>
        <v>-6</v>
      </c>
      <c r="E13" s="2">
        <f>IFERROR(VLOOKUP($I13,Option_Chain_Raw!$E:$AD,VLOOKUP(E$12,Option_Chain_Raw!$BG$1:$BH$26,2,0),0),"")</f>
        <v>52</v>
      </c>
      <c r="F13" s="12">
        <f>IFERROR(VLOOKUP($I13,Option_Chain_Raw!$E:$AD,VLOOKUP(F$12,Option_Chain_Raw!$BG$1:$BH$26,2,0),0),"")</f>
        <v>2250</v>
      </c>
      <c r="G13" s="13">
        <f>IFERROR(VLOOKUP($I13,Option_Chain_Raw!$E:$AD,VLOOKUP(G$12,Option_Chain_Raw!$BG$1:$BH$26,2,0),0),"")</f>
        <v>61.200000000000045</v>
      </c>
      <c r="H13" s="13">
        <f>IFERROR(VLOOKUP($I13,Option_Chain_Raw!$E:$AD,VLOOKUP(H$12,Option_Chain_Raw!$BG$1:$BH$26,2,0),0),"")</f>
        <v>1050</v>
      </c>
      <c r="I13" s="9">
        <v>23700</v>
      </c>
      <c r="J13" s="13">
        <f>IFERROR(VLOOKUP($I13,Option_Chain_Raw!$AE:$BD,VLOOKUP(J$12,Option_Chain_Raw!$BG$1:$BH$26,2,0),0),"")</f>
        <v>1.55</v>
      </c>
      <c r="K13" s="13">
        <f>IFERROR(VLOOKUP($I13,Option_Chain_Raw!$AE:$BD,VLOOKUP(K$12,Option_Chain_Raw!$BG$1:$BH$26,2,0),0),"")</f>
        <v>-1.2</v>
      </c>
      <c r="L13" s="12">
        <f>IFERROR(VLOOKUP($I13,Option_Chain_Raw!$AE:$BD,VLOOKUP(L$12,Option_Chain_Raw!$BG$1:$BH$26,2,0),0),"")</f>
        <v>31845450</v>
      </c>
      <c r="M13" s="12">
        <f>IFERROR(VLOOKUP($I13,Option_Chain_Raw!$AE:$BD,VLOOKUP(M$12,Option_Chain_Raw!$BG$1:$BH$26,2,0),0),"")</f>
        <v>53860</v>
      </c>
      <c r="N13" s="2">
        <f>IFERROR(VLOOKUP($I13,Option_Chain_Raw!$AE:$BD,VLOOKUP(N$12,Option_Chain_Raw!$BG$1:$BH$26,2,0),0),"")</f>
        <v>15808</v>
      </c>
      <c r="O13" s="14">
        <f>IFERROR(VLOOKUP($I13,Option_Chain_Raw!$AE:$BD,VLOOKUP(O$12,Option_Chain_Raw!$BG$1:$BH$26,2,0),0),"")</f>
        <v>0.33629989808510147</v>
      </c>
      <c r="P13" s="13">
        <f>IFERROR(VLOOKUP($I13,Option_Chain_Raw!$AE:$BD,VLOOKUP(P$12,Option_Chain_Raw!$BG$1:$BH$26,2,0),0),"")</f>
        <v>1.88</v>
      </c>
      <c r="Q13" s="9" t="str">
        <f t="shared" ref="Q13:Q53" si="3">IFERROR(IF(OR(K13="",N13=""),"",IF(AND(N13&gt;0,K13&gt;0),"FRESH_LONG",IF(AND(N13&lt;0,K13&lt;0),"LONG_UNWIND",IF(AND(N13&gt;0,K13&lt;0),"FRESH_SHORT",IF(AND(N13&lt;0,K13&gt;0),"SHORT_COVER",""))))),"")</f>
        <v>FRESH_SHORT</v>
      </c>
      <c r="R13" s="13">
        <f t="shared" ref="R13:R53" si="4">IFERROR(IF(OR(M13="",E13=""),"",IF((M13/E13)&gt;10,10,(M13/E13))),"")</f>
        <v>10</v>
      </c>
      <c r="S13" s="13">
        <f t="shared" ref="S13:S53" si="5">IFERROR(IF(OR(L13="",F13=""),"",IF((L13/F13)&gt;10,10,(L13/F13))),"")</f>
        <v>10</v>
      </c>
      <c r="T13" s="17">
        <f>IFERROR(IF((I13*SUM($E$13:E13)-SUMPRODUCT($I$13:I13,$E$13:E13)+SUMPRODUCT($I13:I$200,$M13:M$200)-$I13*SUM($M13:M$200))&lt;0,"",(I13*SUM($E$13:E13)-SUMPRODUCT($I$13:I13,$E$13:E13)+SUMPRODUCT($I13:I$200,$M13:M$200)-$I13*SUM($M13:M$200))),"")</f>
        <v>1774515500</v>
      </c>
    </row>
    <row r="14" spans="1:20" x14ac:dyDescent="0.2">
      <c r="A14" s="9" t="str">
        <f t="shared" si="2"/>
        <v>FRESH_SHORT</v>
      </c>
      <c r="B14" s="13">
        <f>IFERROR(VLOOKUP($I14,Option_Chain_Raw!$E:$AD,VLOOKUP(B$12,Option_Chain_Raw!$BG$1:$BH$26,2,0),0),"")</f>
        <v>1016.81</v>
      </c>
      <c r="C14" s="14">
        <f>IFERROR(VLOOKUP($I14,Option_Chain_Raw!$E:$AD,VLOOKUP(C$12,Option_Chain_Raw!$BG$1:$BH$26,2,0),0),"")</f>
        <v>0</v>
      </c>
      <c r="D14" s="2">
        <f>IFERROR(VLOOKUP($I14,Option_Chain_Raw!$E:$AD,VLOOKUP(D$12,Option_Chain_Raw!$BG$1:$BH$26,2,0),0),"")</f>
        <v>2</v>
      </c>
      <c r="E14" s="2">
        <f>IFERROR(VLOOKUP($I14,Option_Chain_Raw!$E:$AD,VLOOKUP(E$12,Option_Chain_Raw!$BG$1:$BH$26,2,0),0),"")</f>
        <v>21</v>
      </c>
      <c r="F14" s="12">
        <f>IFERROR(VLOOKUP($I14,Option_Chain_Raw!$E:$AD,VLOOKUP(F$12,Option_Chain_Raw!$BG$1:$BH$26,2,0),0),"")</f>
        <v>675</v>
      </c>
      <c r="G14" s="13">
        <f>IFERROR(VLOOKUP($I14,Option_Chain_Raw!$E:$AD,VLOOKUP(G$12,Option_Chain_Raw!$BG$1:$BH$26,2,0),0),"")</f>
        <v>-9.9500000000000455</v>
      </c>
      <c r="H14" s="13">
        <f>IFERROR(VLOOKUP($I14,Option_Chain_Raw!$E:$AD,VLOOKUP(H$12,Option_Chain_Raw!$BG$1:$BH$26,2,0),0),"")</f>
        <v>944</v>
      </c>
      <c r="I14" s="9">
        <v>23750</v>
      </c>
      <c r="J14" s="13">
        <f>IFERROR(VLOOKUP($I14,Option_Chain_Raw!$AE:$BD,VLOOKUP(J$12,Option_Chain_Raw!$BG$1:$BH$26,2,0),0),"")</f>
        <v>1.8</v>
      </c>
      <c r="K14" s="13">
        <f>IFERROR(VLOOKUP($I14,Option_Chain_Raw!$AE:$BD,VLOOKUP(K$12,Option_Chain_Raw!$BG$1:$BH$26,2,0),0),"")</f>
        <v>-1.05</v>
      </c>
      <c r="L14" s="12">
        <f>IFERROR(VLOOKUP($I14,Option_Chain_Raw!$AE:$BD,VLOOKUP(L$12,Option_Chain_Raw!$BG$1:$BH$26,2,0),0),"")</f>
        <v>20217675</v>
      </c>
      <c r="M14" s="12">
        <f>IFERROR(VLOOKUP($I14,Option_Chain_Raw!$AE:$BD,VLOOKUP(M$12,Option_Chain_Raw!$BG$1:$BH$26,2,0),0),"")</f>
        <v>24460</v>
      </c>
      <c r="N14" s="2">
        <f>IFERROR(VLOOKUP($I14,Option_Chain_Raw!$AE:$BD,VLOOKUP(N$12,Option_Chain_Raw!$BG$1:$BH$26,2,0),0),"")</f>
        <v>16272</v>
      </c>
      <c r="O14" s="14">
        <f>IFERROR(VLOOKUP($I14,Option_Chain_Raw!$AE:$BD,VLOOKUP(O$12,Option_Chain_Raw!$BG$1:$BH$26,2,0),0),"")</f>
        <v>0.32796975263200856</v>
      </c>
      <c r="P14" s="13">
        <f>IFERROR(VLOOKUP($I14,Option_Chain_Raw!$AE:$BD,VLOOKUP(P$12,Option_Chain_Raw!$BG$1:$BH$26,2,0),0),"")</f>
        <v>2.02</v>
      </c>
      <c r="Q14" s="9" t="str">
        <f t="shared" si="3"/>
        <v>FRESH_SHORT</v>
      </c>
      <c r="R14" s="13">
        <f t="shared" si="4"/>
        <v>10</v>
      </c>
      <c r="S14" s="13">
        <f t="shared" si="5"/>
        <v>10</v>
      </c>
      <c r="T14" s="17">
        <f>IFERROR(IF((I14*SUM($E$13:E14)-SUMPRODUCT($I$13:I14,$E$13:E14)+SUMPRODUCT($I14:I$200,$M14:M$200)-$I14*SUM($M14:M$200))&lt;0,"",(I14*SUM($E$13:E14)-SUMPRODUCT($I$13:I14,$E$13:E14)+SUMPRODUCT($I14:I$200,$M14:M$200)-$I14*SUM($M14:M$200))),"")</f>
        <v>1662667250</v>
      </c>
    </row>
    <row r="15" spans="1:20" x14ac:dyDescent="0.2">
      <c r="A15" s="9" t="str">
        <f t="shared" si="2"/>
        <v>SHORT_COVER</v>
      </c>
      <c r="B15" s="13">
        <f>IFERROR(VLOOKUP($I15,Option_Chain_Raw!$E:$AD,VLOOKUP(B$12,Option_Chain_Raw!$BG$1:$BH$26,2,0),0),"")</f>
        <v>951.11</v>
      </c>
      <c r="C15" s="14">
        <f>IFERROR(VLOOKUP($I15,Option_Chain_Raw!$E:$AD,VLOOKUP(C$12,Option_Chain_Raw!$BG$1:$BH$26,2,0),0),"")</f>
        <v>0.51328467967839053</v>
      </c>
      <c r="D15" s="2">
        <f>IFERROR(VLOOKUP($I15,Option_Chain_Raw!$E:$AD,VLOOKUP(D$12,Option_Chain_Raw!$BG$1:$BH$26,2,0),0),"")</f>
        <v>-1</v>
      </c>
      <c r="E15" s="2">
        <f>IFERROR(VLOOKUP($I15,Option_Chain_Raw!$E:$AD,VLOOKUP(E$12,Option_Chain_Raw!$BG$1:$BH$26,2,0),0),"")</f>
        <v>219</v>
      </c>
      <c r="F15" s="12">
        <f>IFERROR(VLOOKUP($I15,Option_Chain_Raw!$E:$AD,VLOOKUP(F$12,Option_Chain_Raw!$BG$1:$BH$26,2,0),0),"")</f>
        <v>24300</v>
      </c>
      <c r="G15" s="13">
        <f>IFERROR(VLOOKUP($I15,Option_Chain_Raw!$E:$AD,VLOOKUP(G$12,Option_Chain_Raw!$BG$1:$BH$26,2,0),0),"")</f>
        <v>55.350000000000023</v>
      </c>
      <c r="H15" s="13">
        <f>IFERROR(VLOOKUP($I15,Option_Chain_Raw!$E:$AD,VLOOKUP(H$12,Option_Chain_Raw!$BG$1:$BH$26,2,0),0),"")</f>
        <v>950</v>
      </c>
      <c r="I15" s="9">
        <v>23800</v>
      </c>
      <c r="J15" s="13">
        <f>IFERROR(VLOOKUP($I15,Option_Chain_Raw!$AE:$BD,VLOOKUP(J$12,Option_Chain_Raw!$BG$1:$BH$26,2,0),0),"")</f>
        <v>1.75</v>
      </c>
      <c r="K15" s="13">
        <f>IFERROR(VLOOKUP($I15,Option_Chain_Raw!$AE:$BD,VLOOKUP(K$12,Option_Chain_Raw!$BG$1:$BH$26,2,0),0),"")</f>
        <v>-1.4</v>
      </c>
      <c r="L15" s="12">
        <f>IFERROR(VLOOKUP($I15,Option_Chain_Raw!$AE:$BD,VLOOKUP(L$12,Option_Chain_Raw!$BG$1:$BH$26,2,0),0),"")</f>
        <v>47227050</v>
      </c>
      <c r="M15" s="12">
        <f>IFERROR(VLOOKUP($I15,Option_Chain_Raw!$AE:$BD,VLOOKUP(M$12,Option_Chain_Raw!$BG$1:$BH$26,2,0),0),"")</f>
        <v>83752</v>
      </c>
      <c r="N15" s="2">
        <f>IFERROR(VLOOKUP($I15,Option_Chain_Raw!$AE:$BD,VLOOKUP(N$12,Option_Chain_Raw!$BG$1:$BH$26,2,0),0),"")</f>
        <v>11888</v>
      </c>
      <c r="O15" s="14">
        <f>IFERROR(VLOOKUP($I15,Option_Chain_Raw!$AE:$BD,VLOOKUP(O$12,Option_Chain_Raw!$BG$1:$BH$26,2,0),0),"")</f>
        <v>0.31181916927697917</v>
      </c>
      <c r="P15" s="13">
        <f>IFERROR(VLOOKUP($I15,Option_Chain_Raw!$AE:$BD,VLOOKUP(P$12,Option_Chain_Raw!$BG$1:$BH$26,2,0),0),"")</f>
        <v>2.1</v>
      </c>
      <c r="Q15" s="9" t="str">
        <f t="shared" si="3"/>
        <v>FRESH_SHORT</v>
      </c>
      <c r="R15" s="13">
        <f t="shared" si="4"/>
        <v>10</v>
      </c>
      <c r="S15" s="13">
        <f t="shared" si="5"/>
        <v>10</v>
      </c>
      <c r="T15" s="17">
        <f>IFERROR(IF((I15*SUM($E$13:E15)-SUMPRODUCT($I$13:I15,$E$13:E15)+SUMPRODUCT($I15:I$200,$M15:M$200)-$I15*SUM($M15:M$200))&lt;0,"",(I15*SUM($E$13:E15)-SUMPRODUCT($I$13:I15,$E$13:E15)+SUMPRODUCT($I15:I$200,$M15:M$200)-$I15*SUM($M15:M$200))),"")</f>
        <v>1552043050</v>
      </c>
    </row>
    <row r="16" spans="1:20" x14ac:dyDescent="0.2">
      <c r="A16" s="9" t="str">
        <f t="shared" si="2"/>
        <v>SHORT_COVER</v>
      </c>
      <c r="B16" s="13">
        <f>IFERROR(VLOOKUP($I16,Option_Chain_Raw!$E:$AD,VLOOKUP(B$12,Option_Chain_Raw!$BG$1:$BH$26,2,0),0),"")</f>
        <v>925.13</v>
      </c>
      <c r="C16" s="14">
        <f>IFERROR(VLOOKUP($I16,Option_Chain_Raw!$E:$AD,VLOOKUP(C$12,Option_Chain_Raw!$BG$1:$BH$26,2,0),0),"")</f>
        <v>0.30953998151000639</v>
      </c>
      <c r="D16" s="2">
        <f>IFERROR(VLOOKUP($I16,Option_Chain_Raw!$E:$AD,VLOOKUP(D$12,Option_Chain_Raw!$BG$1:$BH$26,2,0),0),"")</f>
        <v>-4</v>
      </c>
      <c r="E16" s="2">
        <f>IFERROR(VLOOKUP($I16,Option_Chain_Raw!$E:$AD,VLOOKUP(E$12,Option_Chain_Raw!$BG$1:$BH$26,2,0),0),"")</f>
        <v>11</v>
      </c>
      <c r="F16" s="12">
        <f>IFERROR(VLOOKUP($I16,Option_Chain_Raw!$E:$AD,VLOOKUP(F$12,Option_Chain_Raw!$BG$1:$BH$26,2,0),0),"")</f>
        <v>975</v>
      </c>
      <c r="G16" s="13">
        <f>IFERROR(VLOOKUP($I16,Option_Chain_Raw!$E:$AD,VLOOKUP(G$12,Option_Chain_Raw!$BG$1:$BH$26,2,0),0),"")</f>
        <v>21</v>
      </c>
      <c r="H16" s="13">
        <f>IFERROR(VLOOKUP($I16,Option_Chain_Raw!$E:$AD,VLOOKUP(H$12,Option_Chain_Raw!$BG$1:$BH$26,2,0),0),"")</f>
        <v>875.65</v>
      </c>
      <c r="I16" s="9">
        <v>23850</v>
      </c>
      <c r="J16" s="13">
        <f>IFERROR(VLOOKUP($I16,Option_Chain_Raw!$AE:$BD,VLOOKUP(J$12,Option_Chain_Raw!$BG$1:$BH$26,2,0),0),"")</f>
        <v>1.8</v>
      </c>
      <c r="K16" s="13">
        <f>IFERROR(VLOOKUP($I16,Option_Chain_Raw!$AE:$BD,VLOOKUP(K$12,Option_Chain_Raw!$BG$1:$BH$26,2,0),0),"")</f>
        <v>-1.45</v>
      </c>
      <c r="L16" s="12">
        <f>IFERROR(VLOOKUP($I16,Option_Chain_Raw!$AE:$BD,VLOOKUP(L$12,Option_Chain_Raw!$BG$1:$BH$26,2,0),0),"")</f>
        <v>28491750</v>
      </c>
      <c r="M16" s="12">
        <f>IFERROR(VLOOKUP($I16,Option_Chain_Raw!$AE:$BD,VLOOKUP(M$12,Option_Chain_Raw!$BG$1:$BH$26,2,0),0),"")</f>
        <v>15708</v>
      </c>
      <c r="N16" s="2">
        <f>IFERROR(VLOOKUP($I16,Option_Chain_Raw!$AE:$BD,VLOOKUP(N$12,Option_Chain_Raw!$BG$1:$BH$26,2,0),0),"")</f>
        <v>7896</v>
      </c>
      <c r="O16" s="14">
        <f>IFERROR(VLOOKUP($I16,Option_Chain_Raw!$AE:$BD,VLOOKUP(O$12,Option_Chain_Raw!$BG$1:$BH$26,2,0),0),"")</f>
        <v>0.29797502219409577</v>
      </c>
      <c r="P16" s="13">
        <f>IFERROR(VLOOKUP($I16,Option_Chain_Raw!$AE:$BD,VLOOKUP(P$12,Option_Chain_Raw!$BG$1:$BH$26,2,0),0),"")</f>
        <v>2.23</v>
      </c>
      <c r="Q16" s="9" t="str">
        <f t="shared" si="3"/>
        <v>FRESH_SHORT</v>
      </c>
      <c r="R16" s="13">
        <f t="shared" si="4"/>
        <v>10</v>
      </c>
      <c r="S16" s="13">
        <f t="shared" si="5"/>
        <v>10</v>
      </c>
      <c r="T16" s="17">
        <f>IFERROR(IF((I16*SUM($E$13:E16)-SUMPRODUCT($I$13:I16,$E$13:E16)+SUMPRODUCT($I16:I$200,$M16:M$200)-$I16*SUM($M16:M$200))&lt;0,"",(I16*SUM($E$13:E16)-SUMPRODUCT($I$13:I16,$E$13:E16)+SUMPRODUCT($I16:I$200,$M16:M$200)-$I16*SUM($M16:M$200))),"")</f>
        <v>1445617400</v>
      </c>
    </row>
    <row r="17" spans="1:20" x14ac:dyDescent="0.2">
      <c r="A17" s="9" t="str">
        <f t="shared" si="2"/>
        <v>FRESH_LONG</v>
      </c>
      <c r="B17" s="13">
        <f>IFERROR(VLOOKUP($I17,Option_Chain_Raw!$E:$AD,VLOOKUP(B$12,Option_Chain_Raw!$BG$1:$BH$26,2,0),0),"")</f>
        <v>875.73</v>
      </c>
      <c r="C17" s="14">
        <f>IFERROR(VLOOKUP($I17,Option_Chain_Raw!$E:$AD,VLOOKUP(C$12,Option_Chain_Raw!$BG$1:$BH$26,2,0),0),"")</f>
        <v>0.34814571770684849</v>
      </c>
      <c r="D17" s="2">
        <f>IFERROR(VLOOKUP($I17,Option_Chain_Raw!$E:$AD,VLOOKUP(D$12,Option_Chain_Raw!$BG$1:$BH$26,2,0),0),"")</f>
        <v>8</v>
      </c>
      <c r="E17" s="2">
        <f>IFERROR(VLOOKUP($I17,Option_Chain_Raw!$E:$AD,VLOOKUP(E$12,Option_Chain_Raw!$BG$1:$BH$26,2,0),0),"")</f>
        <v>124</v>
      </c>
      <c r="F17" s="12">
        <f>IFERROR(VLOOKUP($I17,Option_Chain_Raw!$E:$AD,VLOOKUP(F$12,Option_Chain_Raw!$BG$1:$BH$26,2,0),0),"")</f>
        <v>6300</v>
      </c>
      <c r="G17" s="13">
        <f>IFERROR(VLOOKUP($I17,Option_Chain_Raw!$E:$AD,VLOOKUP(G$12,Option_Chain_Raw!$BG$1:$BH$26,2,0),0),"")</f>
        <v>38.799999999999955</v>
      </c>
      <c r="H17" s="13">
        <f>IFERROR(VLOOKUP($I17,Option_Chain_Raw!$E:$AD,VLOOKUP(H$12,Option_Chain_Raw!$BG$1:$BH$26,2,0),0),"")</f>
        <v>830</v>
      </c>
      <c r="I17" s="9">
        <v>23900</v>
      </c>
      <c r="J17" s="13">
        <f>IFERROR(VLOOKUP($I17,Option_Chain_Raw!$AE:$BD,VLOOKUP(J$12,Option_Chain_Raw!$BG$1:$BH$26,2,0),0),"")</f>
        <v>1.9</v>
      </c>
      <c r="K17" s="13">
        <f>IFERROR(VLOOKUP($I17,Option_Chain_Raw!$AE:$BD,VLOOKUP(K$12,Option_Chain_Raw!$BG$1:$BH$26,2,0),0),"")</f>
        <v>-1.6</v>
      </c>
      <c r="L17" s="12">
        <f>IFERROR(VLOOKUP($I17,Option_Chain_Raw!$AE:$BD,VLOOKUP(L$12,Option_Chain_Raw!$BG$1:$BH$26,2,0),0),"")</f>
        <v>54024600</v>
      </c>
      <c r="M17" s="12">
        <f>IFERROR(VLOOKUP($I17,Option_Chain_Raw!$AE:$BD,VLOOKUP(M$12,Option_Chain_Raw!$BG$1:$BH$26,2,0),0),"")</f>
        <v>57328</v>
      </c>
      <c r="N17" s="2">
        <f>IFERROR(VLOOKUP($I17,Option_Chain_Raw!$AE:$BD,VLOOKUP(N$12,Option_Chain_Raw!$BG$1:$BH$26,2,0),0),"")</f>
        <v>25244</v>
      </c>
      <c r="O17" s="14">
        <f>IFERROR(VLOOKUP($I17,Option_Chain_Raw!$AE:$BD,VLOOKUP(O$12,Option_Chain_Raw!$BG$1:$BH$26,2,0),0),"")</f>
        <v>0.28501427579094579</v>
      </c>
      <c r="P17" s="13">
        <f>IFERROR(VLOOKUP($I17,Option_Chain_Raw!$AE:$BD,VLOOKUP(P$12,Option_Chain_Raw!$BG$1:$BH$26,2,0),0),"")</f>
        <v>2.2599999999999998</v>
      </c>
      <c r="Q17" s="9" t="str">
        <f t="shared" si="3"/>
        <v>FRESH_SHORT</v>
      </c>
      <c r="R17" s="13">
        <f t="shared" si="4"/>
        <v>10</v>
      </c>
      <c r="S17" s="13">
        <f t="shared" si="5"/>
        <v>10</v>
      </c>
      <c r="T17" s="17">
        <f>IFERROR(IF((I17*SUM($E$13:E17)-SUMPRODUCT($I$13:I17,$E$13:E17)+SUMPRODUCT($I17:I$200,$M17:M$200)-$I17*SUM($M17:M$200))&lt;0,"",(I17*SUM($E$13:E17)-SUMPRODUCT($I$13:I17,$E$13:E17)+SUMPRODUCT($I17:I$200,$M17:M$200)-$I17*SUM($M17:M$200))),"")</f>
        <v>1339977700</v>
      </c>
    </row>
    <row r="18" spans="1:20" x14ac:dyDescent="0.2">
      <c r="A18" s="9" t="str">
        <f t="shared" si="2"/>
        <v/>
      </c>
      <c r="B18" s="13">
        <f>IFERROR(VLOOKUP($I18,Option_Chain_Raw!$E:$AD,VLOOKUP(B$12,Option_Chain_Raw!$BG$1:$BH$26,2,0),0),"")</f>
        <v>0</v>
      </c>
      <c r="C18" s="14">
        <f>IFERROR(VLOOKUP($I18,Option_Chain_Raw!$E:$AD,VLOOKUP(C$12,Option_Chain_Raw!$BG$1:$BH$26,2,0),0),"")</f>
        <v>0</v>
      </c>
      <c r="D18" s="2">
        <f>IFERROR(VLOOKUP($I18,Option_Chain_Raw!$E:$AD,VLOOKUP(D$12,Option_Chain_Raw!$BG$1:$BH$26,2,0),0),"")</f>
        <v>0</v>
      </c>
      <c r="E18" s="2">
        <f>IFERROR(VLOOKUP($I18,Option_Chain_Raw!$E:$AD,VLOOKUP(E$12,Option_Chain_Raw!$BG$1:$BH$26,2,0),0),"")</f>
        <v>15</v>
      </c>
      <c r="F18" s="12">
        <f>IFERROR(VLOOKUP($I18,Option_Chain_Raw!$E:$AD,VLOOKUP(F$12,Option_Chain_Raw!$BG$1:$BH$26,2,0),0),"")</f>
        <v>0</v>
      </c>
      <c r="G18" s="13">
        <f>IFERROR(VLOOKUP($I18,Option_Chain_Raw!$E:$AD,VLOOKUP(G$12,Option_Chain_Raw!$BG$1:$BH$26,2,0),0),"")</f>
        <v>0</v>
      </c>
      <c r="H18" s="13">
        <f>IFERROR(VLOOKUP($I18,Option_Chain_Raw!$E:$AD,VLOOKUP(H$12,Option_Chain_Raw!$BG$1:$BH$26,2,0),0),"")</f>
        <v>742.95</v>
      </c>
      <c r="I18" s="9">
        <v>23950</v>
      </c>
      <c r="J18" s="13">
        <f>IFERROR(VLOOKUP($I18,Option_Chain_Raw!$AE:$BD,VLOOKUP(J$12,Option_Chain_Raw!$BG$1:$BH$26,2,0),0),"")</f>
        <v>2.0499999999999998</v>
      </c>
      <c r="K18" s="13">
        <f>IFERROR(VLOOKUP($I18,Option_Chain_Raw!$AE:$BD,VLOOKUP(K$12,Option_Chain_Raw!$BG$1:$BH$26,2,0),0),"")</f>
        <v>-1.8000000000000003</v>
      </c>
      <c r="L18" s="12">
        <f>IFERROR(VLOOKUP($I18,Option_Chain_Raw!$AE:$BD,VLOOKUP(L$12,Option_Chain_Raw!$BG$1:$BH$26,2,0),0),"")</f>
        <v>33014700</v>
      </c>
      <c r="M18" s="12">
        <f>IFERROR(VLOOKUP($I18,Option_Chain_Raw!$AE:$BD,VLOOKUP(M$12,Option_Chain_Raw!$BG$1:$BH$26,2,0),0),"")</f>
        <v>21865</v>
      </c>
      <c r="N18" s="2">
        <f>IFERROR(VLOOKUP($I18,Option_Chain_Raw!$AE:$BD,VLOOKUP(N$12,Option_Chain_Raw!$BG$1:$BH$26,2,0),0),"")</f>
        <v>10416</v>
      </c>
      <c r="O18" s="14">
        <f>IFERROR(VLOOKUP($I18,Option_Chain_Raw!$AE:$BD,VLOOKUP(O$12,Option_Chain_Raw!$BG$1:$BH$26,2,0),0),"")</f>
        <v>0.27269953280087611</v>
      </c>
      <c r="P18" s="13">
        <f>IFERROR(VLOOKUP($I18,Option_Chain_Raw!$AE:$BD,VLOOKUP(P$12,Option_Chain_Raw!$BG$1:$BH$26,2,0),0),"")</f>
        <v>2.42</v>
      </c>
      <c r="Q18" s="9" t="str">
        <f t="shared" si="3"/>
        <v>FRESH_SHORT</v>
      </c>
      <c r="R18" s="13">
        <f t="shared" si="4"/>
        <v>10</v>
      </c>
      <c r="S18" s="13" t="str">
        <f t="shared" si="5"/>
        <v/>
      </c>
      <c r="T18" s="17">
        <f>IFERROR(IF((I18*SUM($E$13:E18)-SUMPRODUCT($I$13:I18,$E$13:E18)+SUMPRODUCT($I18:I$200,$M18:M$200)-$I18*SUM($M18:M$200))&lt;0,"",(I18*SUM($E$13:E18)-SUMPRODUCT($I$13:I18,$E$13:E18)+SUMPRODUCT($I18:I$200,$M18:M$200)-$I18*SUM($M18:M$200))),"")</f>
        <v>1237210600</v>
      </c>
    </row>
    <row r="19" spans="1:20" x14ac:dyDescent="0.2">
      <c r="A19" s="9" t="str">
        <f t="shared" si="2"/>
        <v>SHORT_COVER</v>
      </c>
      <c r="B19" s="13">
        <f>IFERROR(VLOOKUP($I19,Option_Chain_Raw!$E:$AD,VLOOKUP(B$12,Option_Chain_Raw!$BG$1:$BH$26,2,0),0),"")</f>
        <v>752.63</v>
      </c>
      <c r="C19" s="14">
        <f>IFERROR(VLOOKUP($I19,Option_Chain_Raw!$E:$AD,VLOOKUP(C$12,Option_Chain_Raw!$BG$1:$BH$26,2,0),0),"")</f>
        <v>0.4472497110808733</v>
      </c>
      <c r="D19" s="2">
        <f>IFERROR(VLOOKUP($I19,Option_Chain_Raw!$E:$AD,VLOOKUP(D$12,Option_Chain_Raw!$BG$1:$BH$26,2,0),0),"")</f>
        <v>-208</v>
      </c>
      <c r="E19" s="2">
        <f>IFERROR(VLOOKUP($I19,Option_Chain_Raw!$E:$AD,VLOOKUP(E$12,Option_Chain_Raw!$BG$1:$BH$26,2,0),0),"")</f>
        <v>8320</v>
      </c>
      <c r="F19" s="12">
        <f>IFERROR(VLOOKUP($I19,Option_Chain_Raw!$E:$AD,VLOOKUP(F$12,Option_Chain_Raw!$BG$1:$BH$26,2,0),0),"")</f>
        <v>284325</v>
      </c>
      <c r="G19" s="13">
        <f>IFERROR(VLOOKUP($I19,Option_Chain_Raw!$E:$AD,VLOOKUP(G$12,Option_Chain_Raw!$BG$1:$BH$26,2,0),0),"")</f>
        <v>62.5</v>
      </c>
      <c r="H19" s="13">
        <f>IFERROR(VLOOKUP($I19,Option_Chain_Raw!$E:$AD,VLOOKUP(H$12,Option_Chain_Raw!$BG$1:$BH$26,2,0),0),"")</f>
        <v>755</v>
      </c>
      <c r="I19" s="9">
        <v>24000</v>
      </c>
      <c r="J19" s="13">
        <f>IFERROR(VLOOKUP($I19,Option_Chain_Raw!$AE:$BD,VLOOKUP(J$12,Option_Chain_Raw!$BG$1:$BH$26,2,0),0),"")</f>
        <v>2.2000000000000002</v>
      </c>
      <c r="K19" s="13">
        <f>IFERROR(VLOOKUP($I19,Option_Chain_Raw!$AE:$BD,VLOOKUP(K$12,Option_Chain_Raw!$BG$1:$BH$26,2,0),0),"")</f>
        <v>-2.1499999999999995</v>
      </c>
      <c r="L19" s="12">
        <f>IFERROR(VLOOKUP($I19,Option_Chain_Raw!$AE:$BD,VLOOKUP(L$12,Option_Chain_Raw!$BG$1:$BH$26,2,0),0),"")</f>
        <v>82680000</v>
      </c>
      <c r="M19" s="12">
        <f>IFERROR(VLOOKUP($I19,Option_Chain_Raw!$AE:$BD,VLOOKUP(M$12,Option_Chain_Raw!$BG$1:$BH$26,2,0),0),"")</f>
        <v>172631</v>
      </c>
      <c r="N19" s="2">
        <f>IFERROR(VLOOKUP($I19,Option_Chain_Raw!$AE:$BD,VLOOKUP(N$12,Option_Chain_Raw!$BG$1:$BH$26,2,0),0),"")</f>
        <v>52638</v>
      </c>
      <c r="O19" s="14">
        <f>IFERROR(VLOOKUP($I19,Option_Chain_Raw!$AE:$BD,VLOOKUP(O$12,Option_Chain_Raw!$BG$1:$BH$26,2,0),0),"")</f>
        <v>0.2599248521362556</v>
      </c>
      <c r="P19" s="13">
        <f>IFERROR(VLOOKUP($I19,Option_Chain_Raw!$AE:$BD,VLOOKUP(P$12,Option_Chain_Raw!$BG$1:$BH$26,2,0),0),"")</f>
        <v>2.5099999999999998</v>
      </c>
      <c r="Q19" s="9" t="str">
        <f t="shared" si="3"/>
        <v>FRESH_SHORT</v>
      </c>
      <c r="R19" s="13">
        <f t="shared" si="4"/>
        <v>10</v>
      </c>
      <c r="S19" s="13">
        <f t="shared" si="5"/>
        <v>10</v>
      </c>
      <c r="T19" s="17">
        <f>IFERROR(IF((I19*SUM($E$13:E19)-SUMPRODUCT($I$13:I19,$E$13:E19)+SUMPRODUCT($I19:I$200,$M19:M$200)-$I19*SUM($M19:M$200))&lt;0,"",(I19*SUM($E$13:E19)-SUMPRODUCT($I$13:I19,$E$13:E19)+SUMPRODUCT($I19:I$200,$M19:M$200)-$I19*SUM($M19:M$200))),"")</f>
        <v>1135537500</v>
      </c>
    </row>
    <row r="20" spans="1:20" x14ac:dyDescent="0.2">
      <c r="A20" s="9" t="str">
        <f t="shared" si="2"/>
        <v>FRESH_SHORT</v>
      </c>
      <c r="B20" s="13">
        <f>IFERROR(VLOOKUP($I20,Option_Chain_Raw!$E:$AD,VLOOKUP(B$12,Option_Chain_Raw!$BG$1:$BH$26,2,0),0),"")</f>
        <v>737.13</v>
      </c>
      <c r="C20" s="14">
        <f>IFERROR(VLOOKUP($I20,Option_Chain_Raw!$E:$AD,VLOOKUP(C$12,Option_Chain_Raw!$BG$1:$BH$26,2,0),0),"")</f>
        <v>0</v>
      </c>
      <c r="D20" s="2">
        <f>IFERROR(VLOOKUP($I20,Option_Chain_Raw!$E:$AD,VLOOKUP(D$12,Option_Chain_Raw!$BG$1:$BH$26,2,0),0),"")</f>
        <v>21</v>
      </c>
      <c r="E20" s="2">
        <f>IFERROR(VLOOKUP($I20,Option_Chain_Raw!$E:$AD,VLOOKUP(E$12,Option_Chain_Raw!$BG$1:$BH$26,2,0),0),"")</f>
        <v>48</v>
      </c>
      <c r="F20" s="12">
        <f>IFERROR(VLOOKUP($I20,Option_Chain_Raw!$E:$AD,VLOOKUP(F$12,Option_Chain_Raw!$BG$1:$BH$26,2,0),0),"")</f>
        <v>3075</v>
      </c>
      <c r="G20" s="13">
        <f>IFERROR(VLOOKUP($I20,Option_Chain_Raw!$E:$AD,VLOOKUP(G$12,Option_Chain_Raw!$BG$1:$BH$26,2,0),0),"")</f>
        <v>-6.6500000000000909</v>
      </c>
      <c r="H20" s="13">
        <f>IFERROR(VLOOKUP($I20,Option_Chain_Raw!$E:$AD,VLOOKUP(H$12,Option_Chain_Raw!$BG$1:$BH$26,2,0),0),"")</f>
        <v>636.29999999999995</v>
      </c>
      <c r="I20" s="9">
        <v>24050</v>
      </c>
      <c r="J20" s="13">
        <f>IFERROR(VLOOKUP($I20,Option_Chain_Raw!$AE:$BD,VLOOKUP(J$12,Option_Chain_Raw!$BG$1:$BH$26,2,0),0),"")</f>
        <v>2.2000000000000002</v>
      </c>
      <c r="K20" s="13">
        <f>IFERROR(VLOOKUP($I20,Option_Chain_Raw!$AE:$BD,VLOOKUP(K$12,Option_Chain_Raw!$BG$1:$BH$26,2,0),0),"")</f>
        <v>-2.5499999999999998</v>
      </c>
      <c r="L20" s="12">
        <f>IFERROR(VLOOKUP($I20,Option_Chain_Raw!$AE:$BD,VLOOKUP(L$12,Option_Chain_Raw!$BG$1:$BH$26,2,0),0),"")</f>
        <v>27527850</v>
      </c>
      <c r="M20" s="12">
        <f>IFERROR(VLOOKUP($I20,Option_Chain_Raw!$AE:$BD,VLOOKUP(M$12,Option_Chain_Raw!$BG$1:$BH$26,2,0),0),"")</f>
        <v>12430</v>
      </c>
      <c r="N20" s="2">
        <f>IFERROR(VLOOKUP($I20,Option_Chain_Raw!$AE:$BD,VLOOKUP(N$12,Option_Chain_Raw!$BG$1:$BH$26,2,0),0),"")</f>
        <v>976</v>
      </c>
      <c r="O20" s="14">
        <f>IFERROR(VLOOKUP($I20,Option_Chain_Raw!$AE:$BD,VLOOKUP(O$12,Option_Chain_Raw!$BG$1:$BH$26,2,0),0),"")</f>
        <v>0.24428339328289164</v>
      </c>
      <c r="P20" s="13">
        <f>IFERROR(VLOOKUP($I20,Option_Chain_Raw!$AE:$BD,VLOOKUP(P$12,Option_Chain_Raw!$BG$1:$BH$26,2,0),0),"")</f>
        <v>2.63</v>
      </c>
      <c r="Q20" s="9" t="str">
        <f t="shared" si="3"/>
        <v>FRESH_SHORT</v>
      </c>
      <c r="R20" s="13">
        <f t="shared" si="4"/>
        <v>10</v>
      </c>
      <c r="S20" s="13">
        <f t="shared" si="5"/>
        <v>10</v>
      </c>
      <c r="T20" s="17">
        <f>IFERROR(IF((I20*SUM($E$13:E20)-SUMPRODUCT($I$13:I20,$E$13:E20)+SUMPRODUCT($I20:I$200,$M20:M$200)-$I20*SUM($M20:M$200))&lt;0,"",(I20*SUM($E$13:E20)-SUMPRODUCT($I$13:I20,$E$13:E20)+SUMPRODUCT($I20:I$200,$M20:M$200)-$I20*SUM($M20:M$200))),"")</f>
        <v>1042911950</v>
      </c>
    </row>
    <row r="21" spans="1:20" x14ac:dyDescent="0.2">
      <c r="A21" s="9" t="str">
        <f t="shared" si="2"/>
        <v>FRESH_LONG</v>
      </c>
      <c r="B21" s="13">
        <f>IFERROR(VLOOKUP($I21,Option_Chain_Raw!$E:$AD,VLOOKUP(B$12,Option_Chain_Raw!$BG$1:$BH$26,2,0),0),"")</f>
        <v>646.38</v>
      </c>
      <c r="C21" s="14">
        <f>IFERROR(VLOOKUP($I21,Option_Chain_Raw!$E:$AD,VLOOKUP(C$12,Option_Chain_Raw!$BG$1:$BH$26,2,0),0),"")</f>
        <v>0.38996424620869147</v>
      </c>
      <c r="D21" s="2">
        <f>IFERROR(VLOOKUP($I21,Option_Chain_Raw!$E:$AD,VLOOKUP(D$12,Option_Chain_Raw!$BG$1:$BH$26,2,0),0),"")</f>
        <v>49</v>
      </c>
      <c r="E21" s="2">
        <f>IFERROR(VLOOKUP($I21,Option_Chain_Raw!$E:$AD,VLOOKUP(E$12,Option_Chain_Raw!$BG$1:$BH$26,2,0),0),"")</f>
        <v>272</v>
      </c>
      <c r="F21" s="12">
        <f>IFERROR(VLOOKUP($I21,Option_Chain_Raw!$E:$AD,VLOOKUP(F$12,Option_Chain_Raw!$BG$1:$BH$26,2,0),0),"")</f>
        <v>28725</v>
      </c>
      <c r="G21" s="13">
        <f>IFERROR(VLOOKUP($I21,Option_Chain_Raw!$E:$AD,VLOOKUP(G$12,Option_Chain_Raw!$BG$1:$BH$26,2,0),0),"")</f>
        <v>57.600000000000023</v>
      </c>
      <c r="H21" s="13">
        <f>IFERROR(VLOOKUP($I21,Option_Chain_Raw!$E:$AD,VLOOKUP(H$12,Option_Chain_Raw!$BG$1:$BH$26,2,0),0),"")</f>
        <v>652</v>
      </c>
      <c r="I21" s="9">
        <v>24100</v>
      </c>
      <c r="J21" s="13">
        <f>IFERROR(VLOOKUP($I21,Option_Chain_Raw!$AE:$BD,VLOOKUP(J$12,Option_Chain_Raw!$BG$1:$BH$26,2,0),0),"")</f>
        <v>2.35</v>
      </c>
      <c r="K21" s="13">
        <f>IFERROR(VLOOKUP($I21,Option_Chain_Raw!$AE:$BD,VLOOKUP(K$12,Option_Chain_Raw!$BG$1:$BH$26,2,0),0),"")</f>
        <v>-2.9</v>
      </c>
      <c r="L21" s="12">
        <f>IFERROR(VLOOKUP($I21,Option_Chain_Raw!$AE:$BD,VLOOKUP(L$12,Option_Chain_Raw!$BG$1:$BH$26,2,0),0),"")</f>
        <v>42392925</v>
      </c>
      <c r="M21" s="12">
        <f>IFERROR(VLOOKUP($I21,Option_Chain_Raw!$AE:$BD,VLOOKUP(M$12,Option_Chain_Raw!$BG$1:$BH$26,2,0),0),"")</f>
        <v>38764</v>
      </c>
      <c r="N21" s="2">
        <f>IFERROR(VLOOKUP($I21,Option_Chain_Raw!$AE:$BD,VLOOKUP(N$12,Option_Chain_Raw!$BG$1:$BH$26,2,0),0),"")</f>
        <v>7115</v>
      </c>
      <c r="O21" s="14">
        <f>IFERROR(VLOOKUP($I21,Option_Chain_Raw!$AE:$BD,VLOOKUP(O$12,Option_Chain_Raw!$BG$1:$BH$26,2,0),0),"")</f>
        <v>0.23085253291455735</v>
      </c>
      <c r="P21" s="13">
        <f>IFERROR(VLOOKUP($I21,Option_Chain_Raw!$AE:$BD,VLOOKUP(P$12,Option_Chain_Raw!$BG$1:$BH$26,2,0),0),"")</f>
        <v>2.73</v>
      </c>
      <c r="Q21" s="9" t="str">
        <f t="shared" si="3"/>
        <v>FRESH_SHORT</v>
      </c>
      <c r="R21" s="13">
        <f t="shared" si="4"/>
        <v>10</v>
      </c>
      <c r="S21" s="13">
        <f t="shared" si="5"/>
        <v>10</v>
      </c>
      <c r="T21" s="17">
        <f>IFERROR(IF((I21*SUM($E$13:E21)-SUMPRODUCT($I$13:I21,$E$13:E21)+SUMPRODUCT($I21:I$200,$M21:M$200)-$I21*SUM($M21:M$200))&lt;0,"",(I21*SUM($E$13:E21)-SUMPRODUCT($I$13:I21,$E$13:E21)+SUMPRODUCT($I21:I$200,$M21:M$200)-$I21*SUM($M21:M$200))),"")</f>
        <v>950910300</v>
      </c>
    </row>
    <row r="22" spans="1:20" x14ac:dyDescent="0.2">
      <c r="A22" s="9" t="str">
        <f t="shared" si="2"/>
        <v>FRESH_LONG</v>
      </c>
      <c r="B22" s="13">
        <f>IFERROR(VLOOKUP($I22,Option_Chain_Raw!$E:$AD,VLOOKUP(B$12,Option_Chain_Raw!$BG$1:$BH$26,2,0),0),"")</f>
        <v>592.71</v>
      </c>
      <c r="C22" s="14">
        <f>IFERROR(VLOOKUP($I22,Option_Chain_Raw!$E:$AD,VLOOKUP(C$12,Option_Chain_Raw!$BG$1:$BH$26,2,0),0),"")</f>
        <v>0.36916025950145581</v>
      </c>
      <c r="D22" s="2">
        <f>IFERROR(VLOOKUP($I22,Option_Chain_Raw!$E:$AD,VLOOKUP(D$12,Option_Chain_Raw!$BG$1:$BH$26,2,0),0),"")</f>
        <v>51</v>
      </c>
      <c r="E22" s="2">
        <f>IFERROR(VLOOKUP($I22,Option_Chain_Raw!$E:$AD,VLOOKUP(E$12,Option_Chain_Raw!$BG$1:$BH$26,2,0),0),"")</f>
        <v>294</v>
      </c>
      <c r="F22" s="12">
        <f>IFERROR(VLOOKUP($I22,Option_Chain_Raw!$E:$AD,VLOOKUP(F$12,Option_Chain_Raw!$BG$1:$BH$26,2,0),0),"")</f>
        <v>13725</v>
      </c>
      <c r="G22" s="13">
        <f>IFERROR(VLOOKUP($I22,Option_Chain_Raw!$E:$AD,VLOOKUP(G$12,Option_Chain_Raw!$BG$1:$BH$26,2,0),0),"")</f>
        <v>57.199999999999932</v>
      </c>
      <c r="H22" s="13">
        <f>IFERROR(VLOOKUP($I22,Option_Chain_Raw!$E:$AD,VLOOKUP(H$12,Option_Chain_Raw!$BG$1:$BH$26,2,0),0),"")</f>
        <v>602.54999999999995</v>
      </c>
      <c r="I22" s="9">
        <v>24150</v>
      </c>
      <c r="J22" s="13">
        <f>IFERROR(VLOOKUP($I22,Option_Chain_Raw!$AE:$BD,VLOOKUP(J$12,Option_Chain_Raw!$BG$1:$BH$26,2,0),0),"")</f>
        <v>2.65</v>
      </c>
      <c r="K22" s="13">
        <f>IFERROR(VLOOKUP($I22,Option_Chain_Raw!$AE:$BD,VLOOKUP(K$12,Option_Chain_Raw!$BG$1:$BH$26,2,0),0),"")</f>
        <v>-3.5000000000000004</v>
      </c>
      <c r="L22" s="12">
        <f>IFERROR(VLOOKUP($I22,Option_Chain_Raw!$AE:$BD,VLOOKUP(L$12,Option_Chain_Raw!$BG$1:$BH$26,2,0),0),"")</f>
        <v>31032525</v>
      </c>
      <c r="M22" s="12">
        <f>IFERROR(VLOOKUP($I22,Option_Chain_Raw!$AE:$BD,VLOOKUP(M$12,Option_Chain_Raw!$BG$1:$BH$26,2,0),0),"")</f>
        <v>20396</v>
      </c>
      <c r="N22" s="2">
        <f>IFERROR(VLOOKUP($I22,Option_Chain_Raw!$AE:$BD,VLOOKUP(N$12,Option_Chain_Raw!$BG$1:$BH$26,2,0),0),"")</f>
        <v>2206</v>
      </c>
      <c r="O22" s="14">
        <f>IFERROR(VLOOKUP($I22,Option_Chain_Raw!$AE:$BD,VLOOKUP(O$12,Option_Chain_Raw!$BG$1:$BH$26,2,0),0),"")</f>
        <v>0.21900377289401946</v>
      </c>
      <c r="P22" s="13">
        <f>IFERROR(VLOOKUP($I22,Option_Chain_Raw!$AE:$BD,VLOOKUP(P$12,Option_Chain_Raw!$BG$1:$BH$26,2,0),0),"")</f>
        <v>2.93</v>
      </c>
      <c r="Q22" s="9" t="str">
        <f t="shared" si="3"/>
        <v>FRESH_SHORT</v>
      </c>
      <c r="R22" s="13">
        <f t="shared" si="4"/>
        <v>10</v>
      </c>
      <c r="S22" s="13">
        <f t="shared" si="5"/>
        <v>10</v>
      </c>
      <c r="T22" s="17">
        <f>IFERROR(IF((I22*SUM($E$13:E22)-SUMPRODUCT($I$13:I22,$E$13:E22)+SUMPRODUCT($I22:I$200,$M22:M$200)-$I22*SUM($M22:M$200))&lt;0,"",(I22*SUM($E$13:E22)-SUMPRODUCT($I$13:I22,$E$13:E22)+SUMPRODUCT($I22:I$200,$M22:M$200)-$I22*SUM($M22:M$200))),"")</f>
        <v>860860450</v>
      </c>
    </row>
    <row r="23" spans="1:20" x14ac:dyDescent="0.2">
      <c r="A23" s="9" t="str">
        <f t="shared" si="2"/>
        <v>FRESH_LONG</v>
      </c>
      <c r="B23" s="13">
        <f>IFERROR(VLOOKUP($I23,Option_Chain_Raw!$E:$AD,VLOOKUP(B$12,Option_Chain_Raw!$BG$1:$BH$26,2,0),0),"")</f>
        <v>541.99</v>
      </c>
      <c r="C23" s="14">
        <f>IFERROR(VLOOKUP($I23,Option_Chain_Raw!$E:$AD,VLOOKUP(C$12,Option_Chain_Raw!$BG$1:$BH$26,2,0),0),"")</f>
        <v>0.34682740448699384</v>
      </c>
      <c r="D23" s="2">
        <f>IFERROR(VLOOKUP($I23,Option_Chain_Raw!$E:$AD,VLOOKUP(D$12,Option_Chain_Raw!$BG$1:$BH$26,2,0),0),"")</f>
        <v>75</v>
      </c>
      <c r="E23" s="2">
        <f>IFERROR(VLOOKUP($I23,Option_Chain_Raw!$E:$AD,VLOOKUP(E$12,Option_Chain_Raw!$BG$1:$BH$26,2,0),0),"")</f>
        <v>870</v>
      </c>
      <c r="F23" s="12">
        <f>IFERROR(VLOOKUP($I23,Option_Chain_Raw!$E:$AD,VLOOKUP(F$12,Option_Chain_Raw!$BG$1:$BH$26,2,0),0),"")</f>
        <v>143625</v>
      </c>
      <c r="G23" s="13">
        <f>IFERROR(VLOOKUP($I23,Option_Chain_Raw!$E:$AD,VLOOKUP(G$12,Option_Chain_Raw!$BG$1:$BH$26,2,0),0),"")</f>
        <v>53.549999999999955</v>
      </c>
      <c r="H23" s="13">
        <f>IFERROR(VLOOKUP($I23,Option_Chain_Raw!$E:$AD,VLOOKUP(H$12,Option_Chain_Raw!$BG$1:$BH$26,2,0),0),"")</f>
        <v>552.79999999999995</v>
      </c>
      <c r="I23" s="9">
        <v>24200</v>
      </c>
      <c r="J23" s="13">
        <f>IFERROR(VLOOKUP($I23,Option_Chain_Raw!$AE:$BD,VLOOKUP(J$12,Option_Chain_Raw!$BG$1:$BH$26,2,0),0),"")</f>
        <v>2.75</v>
      </c>
      <c r="K23" s="13">
        <f>IFERROR(VLOOKUP($I23,Option_Chain_Raw!$AE:$BD,VLOOKUP(K$12,Option_Chain_Raw!$BG$1:$BH$26,2,0),0),"")</f>
        <v>-4.5</v>
      </c>
      <c r="L23" s="12">
        <f>IFERROR(VLOOKUP($I23,Option_Chain_Raw!$AE:$BD,VLOOKUP(L$12,Option_Chain_Raw!$BG$1:$BH$26,2,0),0),"")</f>
        <v>60188100</v>
      </c>
      <c r="M23" s="12">
        <f>IFERROR(VLOOKUP($I23,Option_Chain_Raw!$AE:$BD,VLOOKUP(M$12,Option_Chain_Raw!$BG$1:$BH$26,2,0),0),"")</f>
        <v>98244</v>
      </c>
      <c r="N23" s="2">
        <f>IFERROR(VLOOKUP($I23,Option_Chain_Raw!$AE:$BD,VLOOKUP(N$12,Option_Chain_Raw!$BG$1:$BH$26,2,0),0),"")</f>
        <v>19297</v>
      </c>
      <c r="O23" s="14">
        <f>IFERROR(VLOOKUP($I23,Option_Chain_Raw!$AE:$BD,VLOOKUP(O$12,Option_Chain_Raw!$BG$1:$BH$26,2,0),0),"")</f>
        <v>0.20390916493018768</v>
      </c>
      <c r="P23" s="13">
        <f>IFERROR(VLOOKUP($I23,Option_Chain_Raw!$AE:$BD,VLOOKUP(P$12,Option_Chain_Raw!$BG$1:$BH$26,2,0),0),"")</f>
        <v>3.17</v>
      </c>
      <c r="Q23" s="9" t="str">
        <f t="shared" si="3"/>
        <v>FRESH_SHORT</v>
      </c>
      <c r="R23" s="13">
        <f t="shared" si="4"/>
        <v>10</v>
      </c>
      <c r="S23" s="13">
        <f t="shared" si="5"/>
        <v>10</v>
      </c>
      <c r="T23" s="17">
        <f>IFERROR(IF((I23*SUM($E$13:E23)-SUMPRODUCT($I$13:I23,$E$13:E23)+SUMPRODUCT($I23:I$200,$M23:M$200)-$I23*SUM($M23:M$200))&lt;0,"",(I23*SUM($E$13:E23)-SUMPRODUCT($I$13:I23,$E$13:E23)+SUMPRODUCT($I23:I$200,$M23:M$200)-$I23*SUM($M23:M$200))),"")</f>
        <v>771845100</v>
      </c>
    </row>
    <row r="24" spans="1:20" x14ac:dyDescent="0.2">
      <c r="A24" s="9" t="str">
        <f t="shared" si="2"/>
        <v>FRESH_LONG</v>
      </c>
      <c r="B24" s="13">
        <f>IFERROR(VLOOKUP($I24,Option_Chain_Raw!$E:$AD,VLOOKUP(B$12,Option_Chain_Raw!$BG$1:$BH$26,2,0),0),"")</f>
        <v>491.13</v>
      </c>
      <c r="C24" s="14">
        <f>IFERROR(VLOOKUP($I24,Option_Chain_Raw!$E:$AD,VLOOKUP(C$12,Option_Chain_Raw!$BG$1:$BH$26,2,0),0),"")</f>
        <v>0.32357599290203704</v>
      </c>
      <c r="D24" s="2">
        <f>IFERROR(VLOOKUP($I24,Option_Chain_Raw!$E:$AD,VLOOKUP(D$12,Option_Chain_Raw!$BG$1:$BH$26,2,0),0),"")</f>
        <v>71</v>
      </c>
      <c r="E24" s="2">
        <f>IFERROR(VLOOKUP($I24,Option_Chain_Raw!$E:$AD,VLOOKUP(E$12,Option_Chain_Raw!$BG$1:$BH$26,2,0),0),"")</f>
        <v>358</v>
      </c>
      <c r="F24" s="12">
        <f>IFERROR(VLOOKUP($I24,Option_Chain_Raw!$E:$AD,VLOOKUP(F$12,Option_Chain_Raw!$BG$1:$BH$26,2,0),0),"")</f>
        <v>53175</v>
      </c>
      <c r="G24" s="13">
        <f>IFERROR(VLOOKUP($I24,Option_Chain_Raw!$E:$AD,VLOOKUP(G$12,Option_Chain_Raw!$BG$1:$BH$26,2,0),0),"")</f>
        <v>54.799999999999955</v>
      </c>
      <c r="H24" s="13">
        <f>IFERROR(VLOOKUP($I24,Option_Chain_Raw!$E:$AD,VLOOKUP(H$12,Option_Chain_Raw!$BG$1:$BH$26,2,0),0),"")</f>
        <v>502.9</v>
      </c>
      <c r="I24" s="9">
        <v>24250</v>
      </c>
      <c r="J24" s="13">
        <f>IFERROR(VLOOKUP($I24,Option_Chain_Raw!$AE:$BD,VLOOKUP(J$12,Option_Chain_Raw!$BG$1:$BH$26,2,0),0),"")</f>
        <v>3</v>
      </c>
      <c r="K24" s="13">
        <f>IFERROR(VLOOKUP($I24,Option_Chain_Raw!$AE:$BD,VLOOKUP(K$12,Option_Chain_Raw!$BG$1:$BH$26,2,0),0),"")</f>
        <v>-5.8000000000000007</v>
      </c>
      <c r="L24" s="12">
        <f>IFERROR(VLOOKUP($I24,Option_Chain_Raw!$AE:$BD,VLOOKUP(L$12,Option_Chain_Raw!$BG$1:$BH$26,2,0),0),"")</f>
        <v>36636675</v>
      </c>
      <c r="M24" s="12">
        <f>IFERROR(VLOOKUP($I24,Option_Chain_Raw!$AE:$BD,VLOOKUP(M$12,Option_Chain_Raw!$BG$1:$BH$26,2,0),0),"")</f>
        <v>28652</v>
      </c>
      <c r="N24" s="2">
        <f>IFERROR(VLOOKUP($I24,Option_Chain_Raw!$AE:$BD,VLOOKUP(N$12,Option_Chain_Raw!$BG$1:$BH$26,2,0),0),"")</f>
        <v>9698</v>
      </c>
      <c r="O24" s="14">
        <f>IFERROR(VLOOKUP($I24,Option_Chain_Raw!$AE:$BD,VLOOKUP(O$12,Option_Chain_Raw!$BG$1:$BH$26,2,0),0),"")</f>
        <v>0.19014447318047364</v>
      </c>
      <c r="P24" s="13">
        <f>IFERROR(VLOOKUP($I24,Option_Chain_Raw!$AE:$BD,VLOOKUP(P$12,Option_Chain_Raw!$BG$1:$BH$26,2,0),0),"")</f>
        <v>3.67</v>
      </c>
      <c r="Q24" s="9" t="str">
        <f t="shared" si="3"/>
        <v>FRESH_SHORT</v>
      </c>
      <c r="R24" s="13">
        <f t="shared" si="4"/>
        <v>10</v>
      </c>
      <c r="S24" s="13">
        <f t="shared" si="5"/>
        <v>10</v>
      </c>
      <c r="T24" s="17">
        <f>IFERROR(IF((I24*SUM($E$13:E24)-SUMPRODUCT($I$13:I24,$E$13:E24)+SUMPRODUCT($I24:I$200,$M24:M$200)-$I24*SUM($M24:M$200))&lt;0,"",(I24*SUM($E$13:E24)-SUMPRODUCT($I$13:I24,$E$13:E24)+SUMPRODUCT($I24:I$200,$M24:M$200)-$I24*SUM($M24:M$200))),"")</f>
        <v>687785450</v>
      </c>
    </row>
    <row r="25" spans="1:20" x14ac:dyDescent="0.2">
      <c r="A25" s="9" t="str">
        <f t="shared" si="2"/>
        <v>FRESH_LONG</v>
      </c>
      <c r="B25" s="13">
        <f>IFERROR(VLOOKUP($I25,Option_Chain_Raw!$E:$AD,VLOOKUP(B$12,Option_Chain_Raw!$BG$1:$BH$26,2,0),0),"")</f>
        <v>427.48</v>
      </c>
      <c r="C25" s="14">
        <f>IFERROR(VLOOKUP($I25,Option_Chain_Raw!$E:$AD,VLOOKUP(C$12,Option_Chain_Raw!$BG$1:$BH$26,2,0),0),"")</f>
        <v>0.30205510506971978</v>
      </c>
      <c r="D25" s="2">
        <f>IFERROR(VLOOKUP($I25,Option_Chain_Raw!$E:$AD,VLOOKUP(D$12,Option_Chain_Raw!$BG$1:$BH$26,2,0),0),"")</f>
        <v>128</v>
      </c>
      <c r="E25" s="2">
        <f>IFERROR(VLOOKUP($I25,Option_Chain_Raw!$E:$AD,VLOOKUP(E$12,Option_Chain_Raw!$BG$1:$BH$26,2,0),0),"")</f>
        <v>1319</v>
      </c>
      <c r="F25" s="12">
        <f>IFERROR(VLOOKUP($I25,Option_Chain_Raw!$E:$AD,VLOOKUP(F$12,Option_Chain_Raw!$BG$1:$BH$26,2,0),0),"")</f>
        <v>618600</v>
      </c>
      <c r="G25" s="13">
        <f>IFERROR(VLOOKUP($I25,Option_Chain_Raw!$E:$AD,VLOOKUP(G$12,Option_Chain_Raw!$BG$1:$BH$26,2,0),0),"")</f>
        <v>53.5</v>
      </c>
      <c r="H25" s="13">
        <f>IFERROR(VLOOKUP($I25,Option_Chain_Raw!$E:$AD,VLOOKUP(H$12,Option_Chain_Raw!$BG$1:$BH$26,2,0),0),"")</f>
        <v>453.65</v>
      </c>
      <c r="I25" s="9">
        <v>24300</v>
      </c>
      <c r="J25" s="13">
        <f>IFERROR(VLOOKUP($I25,Option_Chain_Raw!$AE:$BD,VLOOKUP(J$12,Option_Chain_Raw!$BG$1:$BH$26,2,0),0),"")</f>
        <v>3.55</v>
      </c>
      <c r="K25" s="13">
        <f>IFERROR(VLOOKUP($I25,Option_Chain_Raw!$AE:$BD,VLOOKUP(K$12,Option_Chain_Raw!$BG$1:$BH$26,2,0),0),"")</f>
        <v>-7.2</v>
      </c>
      <c r="L25" s="12">
        <f>IFERROR(VLOOKUP($I25,Option_Chain_Raw!$AE:$BD,VLOOKUP(L$12,Option_Chain_Raw!$BG$1:$BH$26,2,0),0),"")</f>
        <v>77926725</v>
      </c>
      <c r="M25" s="12">
        <f>IFERROR(VLOOKUP($I25,Option_Chain_Raw!$AE:$BD,VLOOKUP(M$12,Option_Chain_Raw!$BG$1:$BH$26,2,0),0),"")</f>
        <v>73824</v>
      </c>
      <c r="N25" s="2">
        <f>IFERROR(VLOOKUP($I25,Option_Chain_Raw!$AE:$BD,VLOOKUP(N$12,Option_Chain_Raw!$BG$1:$BH$26,2,0),0),"")</f>
        <v>21245</v>
      </c>
      <c r="O25" s="14">
        <f>IFERROR(VLOOKUP($I25,Option_Chain_Raw!$AE:$BD,VLOOKUP(O$12,Option_Chain_Raw!$BG$1:$BH$26,2,0),0),"")</f>
        <v>0.17854077314067654</v>
      </c>
      <c r="P25" s="13">
        <f>IFERROR(VLOOKUP($I25,Option_Chain_Raw!$AE:$BD,VLOOKUP(P$12,Option_Chain_Raw!$BG$1:$BH$26,2,0),0),"")</f>
        <v>4.3499999999999996</v>
      </c>
      <c r="Q25" s="9" t="str">
        <f t="shared" si="3"/>
        <v>FRESH_SHORT</v>
      </c>
      <c r="R25" s="13">
        <f t="shared" si="4"/>
        <v>10</v>
      </c>
      <c r="S25" s="13">
        <f t="shared" si="5"/>
        <v>10</v>
      </c>
      <c r="T25" s="17">
        <f>IFERROR(IF((I25*SUM($E$13:E25)-SUMPRODUCT($I$13:I25,$E$13:E25)+SUMPRODUCT($I25:I$200,$M25:M$200)-$I25*SUM($M25:M$200))&lt;0,"",(I25*SUM($E$13:E25)-SUMPRODUCT($I$13:I25,$E$13:E25)+SUMPRODUCT($I25:I$200,$M25:M$200)-$I25*SUM($M25:M$200))),"")</f>
        <v>605176300</v>
      </c>
    </row>
    <row r="26" spans="1:20" x14ac:dyDescent="0.2">
      <c r="A26" s="9" t="str">
        <f t="shared" si="2"/>
        <v>FRESH_LONG</v>
      </c>
      <c r="B26" s="13">
        <f>IFERROR(VLOOKUP($I26,Option_Chain_Raw!$E:$AD,VLOOKUP(B$12,Option_Chain_Raw!$BG$1:$BH$26,2,0),0),"")</f>
        <v>389.68</v>
      </c>
      <c r="C26" s="14">
        <f>IFERROR(VLOOKUP($I26,Option_Chain_Raw!$E:$AD,VLOOKUP(C$12,Option_Chain_Raw!$BG$1:$BH$26,2,0),0),"")</f>
        <v>0.25915395172546452</v>
      </c>
      <c r="D26" s="2">
        <f>IFERROR(VLOOKUP($I26,Option_Chain_Raw!$E:$AD,VLOOKUP(D$12,Option_Chain_Raw!$BG$1:$BH$26,2,0),0),"")</f>
        <v>156</v>
      </c>
      <c r="E26" s="2">
        <f>IFERROR(VLOOKUP($I26,Option_Chain_Raw!$E:$AD,VLOOKUP(E$12,Option_Chain_Raw!$BG$1:$BH$26,2,0),0),"")</f>
        <v>681</v>
      </c>
      <c r="F26" s="12">
        <f>IFERROR(VLOOKUP($I26,Option_Chain_Raw!$E:$AD,VLOOKUP(F$12,Option_Chain_Raw!$BG$1:$BH$26,2,0),0),"")</f>
        <v>326400</v>
      </c>
      <c r="G26" s="13">
        <f>IFERROR(VLOOKUP($I26,Option_Chain_Raw!$E:$AD,VLOOKUP(G$12,Option_Chain_Raw!$BG$1:$BH$26,2,0),0),"")</f>
        <v>43</v>
      </c>
      <c r="H26" s="13">
        <f>IFERROR(VLOOKUP($I26,Option_Chain_Raw!$E:$AD,VLOOKUP(H$12,Option_Chain_Raw!$BG$1:$BH$26,2,0),0),"")</f>
        <v>398</v>
      </c>
      <c r="I26" s="9">
        <v>24350</v>
      </c>
      <c r="J26" s="13">
        <f>IFERROR(VLOOKUP($I26,Option_Chain_Raw!$AE:$BD,VLOOKUP(J$12,Option_Chain_Raw!$BG$1:$BH$26,2,0),0),"")</f>
        <v>4.1500000000000004</v>
      </c>
      <c r="K26" s="13">
        <f>IFERROR(VLOOKUP($I26,Option_Chain_Raw!$AE:$BD,VLOOKUP(K$12,Option_Chain_Raw!$BG$1:$BH$26,2,0),0),"")</f>
        <v>-9.5</v>
      </c>
      <c r="L26" s="12">
        <f>IFERROR(VLOOKUP($I26,Option_Chain_Raw!$AE:$BD,VLOOKUP(L$12,Option_Chain_Raw!$BG$1:$BH$26,2,0),0),"")</f>
        <v>64674825</v>
      </c>
      <c r="M26" s="12">
        <f>IFERROR(VLOOKUP($I26,Option_Chain_Raw!$AE:$BD,VLOOKUP(M$12,Option_Chain_Raw!$BG$1:$BH$26,2,0),0),"")</f>
        <v>41969</v>
      </c>
      <c r="N26" s="2">
        <f>IFERROR(VLOOKUP($I26,Option_Chain_Raw!$AE:$BD,VLOOKUP(N$12,Option_Chain_Raw!$BG$1:$BH$26,2,0),0),"")</f>
        <v>21222</v>
      </c>
      <c r="O26" s="14">
        <f>IFERROR(VLOOKUP($I26,Option_Chain_Raw!$AE:$BD,VLOOKUP(O$12,Option_Chain_Raw!$BG$1:$BH$26,2,0),0),"")</f>
        <v>0.16592922262035534</v>
      </c>
      <c r="P26" s="13">
        <f>IFERROR(VLOOKUP($I26,Option_Chain_Raw!$AE:$BD,VLOOKUP(P$12,Option_Chain_Raw!$BG$1:$BH$26,2,0),0),"")</f>
        <v>5.49</v>
      </c>
      <c r="Q26" s="9" t="str">
        <f t="shared" si="3"/>
        <v>FRESH_SHORT</v>
      </c>
      <c r="R26" s="13">
        <f t="shared" si="4"/>
        <v>10</v>
      </c>
      <c r="S26" s="13">
        <f t="shared" si="5"/>
        <v>10</v>
      </c>
      <c r="T26" s="17">
        <f>IFERROR(IF((I26*SUM($E$13:E26)-SUMPRODUCT($I$13:I26,$E$13:E26)+SUMPRODUCT($I26:I$200,$M26:M$200)-$I26*SUM($M26:M$200))&lt;0,"",(I26*SUM($E$13:E26)-SUMPRODUCT($I$13:I26,$E$13:E26)+SUMPRODUCT($I26:I$200,$M26:M$200)-$I26*SUM($M26:M$200))),"")</f>
        <v>526324300</v>
      </c>
    </row>
    <row r="27" spans="1:20" x14ac:dyDescent="0.2">
      <c r="A27" s="9" t="str">
        <f t="shared" si="2"/>
        <v>SHORT_COVER</v>
      </c>
      <c r="B27" s="13">
        <f>IFERROR(VLOOKUP($I27,Option_Chain_Raw!$E:$AD,VLOOKUP(B$12,Option_Chain_Raw!$BG$1:$BH$26,2,0),0),"")</f>
        <v>337.92</v>
      </c>
      <c r="C27" s="14">
        <f>IFERROR(VLOOKUP($I27,Option_Chain_Raw!$E:$AD,VLOOKUP(C$12,Option_Chain_Raw!$BG$1:$BH$26,2,0),0),"")</f>
        <v>0.25948575326189693</v>
      </c>
      <c r="D27" s="2">
        <f>IFERROR(VLOOKUP($I27,Option_Chain_Raw!$E:$AD,VLOOKUP(D$12,Option_Chain_Raw!$BG$1:$BH$26,2,0),0),"")</f>
        <v>-2590</v>
      </c>
      <c r="E27" s="2">
        <f>IFERROR(VLOOKUP($I27,Option_Chain_Raw!$E:$AD,VLOOKUP(E$12,Option_Chain_Raw!$BG$1:$BH$26,2,0),0),"")</f>
        <v>3760</v>
      </c>
      <c r="F27" s="12">
        <f>IFERROR(VLOOKUP($I27,Option_Chain_Raw!$E:$AD,VLOOKUP(F$12,Option_Chain_Raw!$BG$1:$BH$26,2,0),0),"")</f>
        <v>2785425</v>
      </c>
      <c r="G27" s="13">
        <f>IFERROR(VLOOKUP($I27,Option_Chain_Raw!$E:$AD,VLOOKUP(G$12,Option_Chain_Raw!$BG$1:$BH$26,2,0),0),"")</f>
        <v>48.050000000000011</v>
      </c>
      <c r="H27" s="13">
        <f>IFERROR(VLOOKUP($I27,Option_Chain_Raw!$E:$AD,VLOOKUP(H$12,Option_Chain_Raw!$BG$1:$BH$26,2,0),0),"")</f>
        <v>356.05</v>
      </c>
      <c r="I27" s="9">
        <v>24400</v>
      </c>
      <c r="J27" s="13">
        <f>IFERROR(VLOOKUP($I27,Option_Chain_Raw!$AE:$BD,VLOOKUP(J$12,Option_Chain_Raw!$BG$1:$BH$26,2,0),0),"")</f>
        <v>5.2</v>
      </c>
      <c r="K27" s="13">
        <f>IFERROR(VLOOKUP($I27,Option_Chain_Raw!$AE:$BD,VLOOKUP(K$12,Option_Chain_Raw!$BG$1:$BH$26,2,0),0),"")</f>
        <v>-12.45</v>
      </c>
      <c r="L27" s="12">
        <f>IFERROR(VLOOKUP($I27,Option_Chain_Raw!$AE:$BD,VLOOKUP(L$12,Option_Chain_Raw!$BG$1:$BH$26,2,0),0),"")</f>
        <v>133119075</v>
      </c>
      <c r="M27" s="12">
        <f>IFERROR(VLOOKUP($I27,Option_Chain_Raw!$AE:$BD,VLOOKUP(M$12,Option_Chain_Raw!$BG$1:$BH$26,2,0),0),"")</f>
        <v>98543</v>
      </c>
      <c r="N27" s="2">
        <f>IFERROR(VLOOKUP($I27,Option_Chain_Raw!$AE:$BD,VLOOKUP(N$12,Option_Chain_Raw!$BG$1:$BH$26,2,0),0),"")</f>
        <v>24992</v>
      </c>
      <c r="O27" s="14">
        <f>IFERROR(VLOOKUP($I27,Option_Chain_Raw!$AE:$BD,VLOOKUP(O$12,Option_Chain_Raw!$BG$1:$BH$26,2,0),0),"")</f>
        <v>0.15487854381255722</v>
      </c>
      <c r="P27" s="13">
        <f>IFERROR(VLOOKUP($I27,Option_Chain_Raw!$AE:$BD,VLOOKUP(P$12,Option_Chain_Raw!$BG$1:$BH$26,2,0),0),"")</f>
        <v>7.32</v>
      </c>
      <c r="Q27" s="9" t="str">
        <f t="shared" si="3"/>
        <v>FRESH_SHORT</v>
      </c>
      <c r="R27" s="13">
        <f t="shared" si="4"/>
        <v>10</v>
      </c>
      <c r="S27" s="13">
        <f t="shared" si="5"/>
        <v>10</v>
      </c>
      <c r="T27" s="17">
        <f>IFERROR(IF((I27*SUM($E$13:E27)-SUMPRODUCT($I$13:I27,$E$13:E27)+SUMPRODUCT($I27:I$200,$M27:M$200)-$I27*SUM($M27:M$200))&lt;0,"",(I27*SUM($E$13:E27)-SUMPRODUCT($I$13:I27,$E$13:E27)+SUMPRODUCT($I27:I$200,$M27:M$200)-$I27*SUM($M27:M$200))),"")</f>
        <v>449604800</v>
      </c>
    </row>
    <row r="28" spans="1:20" x14ac:dyDescent="0.2">
      <c r="A28" s="9" t="str">
        <f t="shared" si="2"/>
        <v>FRESH_LONG</v>
      </c>
      <c r="B28" s="13">
        <f>IFERROR(VLOOKUP($I28,Option_Chain_Raw!$E:$AD,VLOOKUP(B$12,Option_Chain_Raw!$BG$1:$BH$26,2,0),0),"")</f>
        <v>286.97000000000003</v>
      </c>
      <c r="C28" s="14">
        <f>IFERROR(VLOOKUP($I28,Option_Chain_Raw!$E:$AD,VLOOKUP(C$12,Option_Chain_Raw!$BG$1:$BH$26,2,0),0),"")</f>
        <v>0.23979402100227448</v>
      </c>
      <c r="D28" s="2">
        <f>IFERROR(VLOOKUP($I28,Option_Chain_Raw!$E:$AD,VLOOKUP(D$12,Option_Chain_Raw!$BG$1:$BH$26,2,0),0),"")</f>
        <v>472</v>
      </c>
      <c r="E28" s="2">
        <f>IFERROR(VLOOKUP($I28,Option_Chain_Raw!$E:$AD,VLOOKUP(E$12,Option_Chain_Raw!$BG$1:$BH$26,2,0),0),"")</f>
        <v>1673</v>
      </c>
      <c r="F28" s="12">
        <f>IFERROR(VLOOKUP($I28,Option_Chain_Raw!$E:$AD,VLOOKUP(F$12,Option_Chain_Raw!$BG$1:$BH$26,2,0),0),"")</f>
        <v>2088975</v>
      </c>
      <c r="G28" s="13">
        <f>IFERROR(VLOOKUP($I28,Option_Chain_Raw!$E:$AD,VLOOKUP(G$12,Option_Chain_Raw!$BG$1:$BH$26,2,0),0),"")</f>
        <v>45.849999999999966</v>
      </c>
      <c r="H28" s="13">
        <f>IFERROR(VLOOKUP($I28,Option_Chain_Raw!$E:$AD,VLOOKUP(H$12,Option_Chain_Raw!$BG$1:$BH$26,2,0),0),"")</f>
        <v>308.39999999999998</v>
      </c>
      <c r="I28" s="9">
        <v>24450</v>
      </c>
      <c r="J28" s="13">
        <f>IFERROR(VLOOKUP($I28,Option_Chain_Raw!$AE:$BD,VLOOKUP(J$12,Option_Chain_Raw!$BG$1:$BH$26,2,0),0),"")</f>
        <v>6.9</v>
      </c>
      <c r="K28" s="13">
        <f>IFERROR(VLOOKUP($I28,Option_Chain_Raw!$AE:$BD,VLOOKUP(K$12,Option_Chain_Raw!$BG$1:$BH$26,2,0),0),"")</f>
        <v>-16.049999999999997</v>
      </c>
      <c r="L28" s="12">
        <f>IFERROR(VLOOKUP($I28,Option_Chain_Raw!$AE:$BD,VLOOKUP(L$12,Option_Chain_Raw!$BG$1:$BH$26,2,0),0),"")</f>
        <v>113899575</v>
      </c>
      <c r="M28" s="12">
        <f>IFERROR(VLOOKUP($I28,Option_Chain_Raw!$AE:$BD,VLOOKUP(M$12,Option_Chain_Raw!$BG$1:$BH$26,2,0),0),"")</f>
        <v>60528</v>
      </c>
      <c r="N28" s="2">
        <f>IFERROR(VLOOKUP($I28,Option_Chain_Raw!$AE:$BD,VLOOKUP(N$12,Option_Chain_Raw!$BG$1:$BH$26,2,0),0),"")</f>
        <v>21216</v>
      </c>
      <c r="O28" s="14">
        <f>IFERROR(VLOOKUP($I28,Option_Chain_Raw!$AE:$BD,VLOOKUP(O$12,Option_Chain_Raw!$BG$1:$BH$26,2,0),0),"")</f>
        <v>0.14498858456021177</v>
      </c>
      <c r="P28" s="13">
        <f>IFERROR(VLOOKUP($I28,Option_Chain_Raw!$AE:$BD,VLOOKUP(P$12,Option_Chain_Raw!$BG$1:$BH$26,2,0),0),"")</f>
        <v>10.19</v>
      </c>
      <c r="Q28" s="9" t="str">
        <f t="shared" si="3"/>
        <v>FRESH_SHORT</v>
      </c>
      <c r="R28" s="13">
        <f t="shared" si="4"/>
        <v>10</v>
      </c>
      <c r="S28" s="13">
        <f t="shared" si="5"/>
        <v>10</v>
      </c>
      <c r="T28" s="17">
        <f>IFERROR(IF((I28*SUM($E$13:E28)-SUMPRODUCT($I$13:I28,$E$13:E28)+SUMPRODUCT($I28:I$200,$M28:M$200)-$I28*SUM($M28:M$200))&lt;0,"",(I28*SUM($E$13:E28)-SUMPRODUCT($I$13:I28,$E$13:E28)+SUMPRODUCT($I28:I$200,$M28:M$200)-$I28*SUM($M28:M$200))),"")</f>
        <v>378000450</v>
      </c>
    </row>
    <row r="29" spans="1:20" x14ac:dyDescent="0.2">
      <c r="A29" s="9" t="str">
        <f t="shared" si="2"/>
        <v>SHORT_COVER</v>
      </c>
      <c r="B29" s="13">
        <f>IFERROR(VLOOKUP($I29,Option_Chain_Raw!$E:$AD,VLOOKUP(B$12,Option_Chain_Raw!$BG$1:$BH$26,2,0),0),"")</f>
        <v>246.2</v>
      </c>
      <c r="C29" s="14">
        <f>IFERROR(VLOOKUP($I29,Option_Chain_Raw!$E:$AD,VLOOKUP(C$12,Option_Chain_Raw!$BG$1:$BH$26,2,0),0),"")</f>
        <v>0.2157942805984398</v>
      </c>
      <c r="D29" s="2">
        <f>IFERROR(VLOOKUP($I29,Option_Chain_Raw!$E:$AD,VLOOKUP(D$12,Option_Chain_Raw!$BG$1:$BH$26,2,0),0),"")</f>
        <v>-1122</v>
      </c>
      <c r="E29" s="2">
        <f>IFERROR(VLOOKUP($I29,Option_Chain_Raw!$E:$AD,VLOOKUP(E$12,Option_Chain_Raw!$BG$1:$BH$26,2,0),0),"")</f>
        <v>27004</v>
      </c>
      <c r="F29" s="12">
        <f>IFERROR(VLOOKUP($I29,Option_Chain_Raw!$E:$AD,VLOOKUP(F$12,Option_Chain_Raw!$BG$1:$BH$26,2,0),0),"")</f>
        <v>20749500</v>
      </c>
      <c r="G29" s="13">
        <f>IFERROR(VLOOKUP($I29,Option_Chain_Raw!$E:$AD,VLOOKUP(G$12,Option_Chain_Raw!$BG$1:$BH$26,2,0),0),"")</f>
        <v>39.449999999999989</v>
      </c>
      <c r="H29" s="13">
        <f>IFERROR(VLOOKUP($I29,Option_Chain_Raw!$E:$AD,VLOOKUP(H$12,Option_Chain_Raw!$BG$1:$BH$26,2,0),0),"")</f>
        <v>259.7</v>
      </c>
      <c r="I29" s="9">
        <v>24500</v>
      </c>
      <c r="J29" s="13">
        <f>IFERROR(VLOOKUP($I29,Option_Chain_Raw!$AE:$BD,VLOOKUP(J$12,Option_Chain_Raw!$BG$1:$BH$26,2,0),0),"")</f>
        <v>9.65</v>
      </c>
      <c r="K29" s="13">
        <f>IFERROR(VLOOKUP($I29,Option_Chain_Raw!$AE:$BD,VLOOKUP(K$12,Option_Chain_Raw!$BG$1:$BH$26,2,0),0),"")</f>
        <v>-20.549999999999997</v>
      </c>
      <c r="L29" s="12">
        <f>IFERROR(VLOOKUP($I29,Option_Chain_Raw!$AE:$BD,VLOOKUP(L$12,Option_Chain_Raw!$BG$1:$BH$26,2,0),0),"")</f>
        <v>254653125</v>
      </c>
      <c r="M29" s="12">
        <f>IFERROR(VLOOKUP($I29,Option_Chain_Raw!$AE:$BD,VLOOKUP(M$12,Option_Chain_Raw!$BG$1:$BH$26,2,0),0),"")</f>
        <v>205754</v>
      </c>
      <c r="N29" s="2">
        <f>IFERROR(VLOOKUP($I29,Option_Chain_Raw!$AE:$BD,VLOOKUP(N$12,Option_Chain_Raw!$BG$1:$BH$26,2,0),0),"")</f>
        <v>40573</v>
      </c>
      <c r="O29" s="14">
        <f>IFERROR(VLOOKUP($I29,Option_Chain_Raw!$AE:$BD,VLOOKUP(O$12,Option_Chain_Raw!$BG$1:$BH$26,2,0),0),"")</f>
        <v>0.13622873671732535</v>
      </c>
      <c r="P29" s="13">
        <f>IFERROR(VLOOKUP($I29,Option_Chain_Raw!$AE:$BD,VLOOKUP(P$12,Option_Chain_Raw!$BG$1:$BH$26,2,0),0),"")</f>
        <v>14.37</v>
      </c>
      <c r="Q29" s="9" t="str">
        <f t="shared" si="3"/>
        <v>FRESH_SHORT</v>
      </c>
      <c r="R29" s="13">
        <f t="shared" si="4"/>
        <v>7.6193897200414753</v>
      </c>
      <c r="S29" s="13">
        <f t="shared" si="5"/>
        <v>10</v>
      </c>
      <c r="T29" s="17">
        <f>IFERROR(IF((I29*SUM($E$13:E29)-SUMPRODUCT($I$13:I29,$E$13:E29)+SUMPRODUCT($I29:I$200,$M29:M$200)-$I29*SUM($M29:M$200))&lt;0,"",(I29*SUM($E$13:E29)-SUMPRODUCT($I$13:I29,$E$13:E29)+SUMPRODUCT($I29:I$200,$M29:M$200)-$I29*SUM($M29:M$200))),"")</f>
        <v>309506150</v>
      </c>
    </row>
    <row r="30" spans="1:20" x14ac:dyDescent="0.2">
      <c r="A30" s="9" t="str">
        <f t="shared" si="2"/>
        <v>FRESH_LONG</v>
      </c>
      <c r="B30" s="13">
        <f>IFERROR(VLOOKUP($I30,Option_Chain_Raw!$E:$AD,VLOOKUP(B$12,Option_Chain_Raw!$BG$1:$BH$26,2,0),0),"")</f>
        <v>191.23</v>
      </c>
      <c r="C30" s="14">
        <f>IFERROR(VLOOKUP($I30,Option_Chain_Raw!$E:$AD,VLOOKUP(C$12,Option_Chain_Raw!$BG$1:$BH$26,2,0),0),"")</f>
        <v>0.19624450441583591</v>
      </c>
      <c r="D30" s="2">
        <f>IFERROR(VLOOKUP($I30,Option_Chain_Raw!$E:$AD,VLOOKUP(D$12,Option_Chain_Raw!$BG$1:$BH$26,2,0),0),"")</f>
        <v>6526</v>
      </c>
      <c r="E30" s="2">
        <f>IFERROR(VLOOKUP($I30,Option_Chain_Raw!$E:$AD,VLOOKUP(E$12,Option_Chain_Raw!$BG$1:$BH$26,2,0),0),"")</f>
        <v>11267</v>
      </c>
      <c r="F30" s="12">
        <f>IFERROR(VLOOKUP($I30,Option_Chain_Raw!$E:$AD,VLOOKUP(F$12,Option_Chain_Raw!$BG$1:$BH$26,2,0),0),"")</f>
        <v>15944625</v>
      </c>
      <c r="G30" s="13">
        <f>IFERROR(VLOOKUP($I30,Option_Chain_Raw!$E:$AD,VLOOKUP(G$12,Option_Chain_Raw!$BG$1:$BH$26,2,0),0),"")</f>
        <v>33.050000000000011</v>
      </c>
      <c r="H30" s="13">
        <f>IFERROR(VLOOKUP($I30,Option_Chain_Raw!$E:$AD,VLOOKUP(H$12,Option_Chain_Raw!$BG$1:$BH$26,2,0),0),"")</f>
        <v>213.55</v>
      </c>
      <c r="I30" s="9">
        <v>24550</v>
      </c>
      <c r="J30" s="13">
        <f>IFERROR(VLOOKUP($I30,Option_Chain_Raw!$AE:$BD,VLOOKUP(J$12,Option_Chain_Raw!$BG$1:$BH$26,2,0),0),"")</f>
        <v>13.5</v>
      </c>
      <c r="K30" s="13">
        <f>IFERROR(VLOOKUP($I30,Option_Chain_Raw!$AE:$BD,VLOOKUP(K$12,Option_Chain_Raw!$BG$1:$BH$26,2,0),0),"")</f>
        <v>-27.15</v>
      </c>
      <c r="L30" s="12">
        <f>IFERROR(VLOOKUP($I30,Option_Chain_Raw!$AE:$BD,VLOOKUP(L$12,Option_Chain_Raw!$BG$1:$BH$26,2,0),0),"")</f>
        <v>188084025</v>
      </c>
      <c r="M30" s="12">
        <f>IFERROR(VLOOKUP($I30,Option_Chain_Raw!$AE:$BD,VLOOKUP(M$12,Option_Chain_Raw!$BG$1:$BH$26,2,0),0),"")</f>
        <v>100960</v>
      </c>
      <c r="N30" s="2">
        <f>IFERROR(VLOOKUP($I30,Option_Chain_Raw!$AE:$BD,VLOOKUP(N$12,Option_Chain_Raw!$BG$1:$BH$26,2,0),0),"")</f>
        <v>61041</v>
      </c>
      <c r="O30" s="14">
        <f>IFERROR(VLOOKUP($I30,Option_Chain_Raw!$AE:$BD,VLOOKUP(O$12,Option_Chain_Raw!$BG$1:$BH$26,2,0),0),"")</f>
        <v>0.12670643203196821</v>
      </c>
      <c r="P30" s="13">
        <f>IFERROR(VLOOKUP($I30,Option_Chain_Raw!$AE:$BD,VLOOKUP(P$12,Option_Chain_Raw!$BG$1:$BH$26,2,0),0),"")</f>
        <v>20.87</v>
      </c>
      <c r="Q30" s="9" t="str">
        <f t="shared" si="3"/>
        <v>FRESH_SHORT</v>
      </c>
      <c r="R30" s="13">
        <f t="shared" si="4"/>
        <v>8.96068163663797</v>
      </c>
      <c r="S30" s="13">
        <f t="shared" si="5"/>
        <v>10</v>
      </c>
      <c r="T30" s="17">
        <f>IFERROR(IF((I30*SUM($E$13:E30)-SUMPRODUCT($I$13:I30,$E$13:E30)+SUMPRODUCT($I30:I$200,$M30:M$200)-$I30*SUM($M30:M$200))&lt;0,"",(I30*SUM($E$13:E30)-SUMPRODUCT($I$13:I30,$E$13:E30)+SUMPRODUCT($I30:I$200,$M30:M$200)-$I30*SUM($M30:M$200))),"")</f>
        <v>252649750</v>
      </c>
    </row>
    <row r="31" spans="1:20" x14ac:dyDescent="0.2">
      <c r="A31" s="9" t="str">
        <f t="shared" si="2"/>
        <v>FRESH_LONG</v>
      </c>
      <c r="B31" s="13">
        <f>IFERROR(VLOOKUP($I31,Option_Chain_Raw!$E:$AD,VLOOKUP(B$12,Option_Chain_Raw!$BG$1:$BH$26,2,0),0),"")</f>
        <v>152.91999999999999</v>
      </c>
      <c r="C31" s="14">
        <f>IFERROR(VLOOKUP($I31,Option_Chain_Raw!$E:$AD,VLOOKUP(C$12,Option_Chain_Raw!$BG$1:$BH$26,2,0),0),"")</f>
        <v>0.17878821725401922</v>
      </c>
      <c r="D31" s="2">
        <f>IFERROR(VLOOKUP($I31,Option_Chain_Raw!$E:$AD,VLOOKUP(D$12,Option_Chain_Raw!$BG$1:$BH$26,2,0),0),"")</f>
        <v>21646</v>
      </c>
      <c r="E31" s="2">
        <f>IFERROR(VLOOKUP($I31,Option_Chain_Raw!$E:$AD,VLOOKUP(E$12,Option_Chain_Raw!$BG$1:$BH$26,2,0),0),"")</f>
        <v>52774</v>
      </c>
      <c r="F31" s="12">
        <f>IFERROR(VLOOKUP($I31,Option_Chain_Raw!$E:$AD,VLOOKUP(F$12,Option_Chain_Raw!$BG$1:$BH$26,2,0),0),"")</f>
        <v>96365400</v>
      </c>
      <c r="G31" s="13">
        <f>IFERROR(VLOOKUP($I31,Option_Chain_Raw!$E:$AD,VLOOKUP(G$12,Option_Chain_Raw!$BG$1:$BH$26,2,0),0),"")</f>
        <v>25.349999999999994</v>
      </c>
      <c r="H31" s="13">
        <f>IFERROR(VLOOKUP($I31,Option_Chain_Raw!$E:$AD,VLOOKUP(H$12,Option_Chain_Raw!$BG$1:$BH$26,2,0),0),"")</f>
        <v>169.7</v>
      </c>
      <c r="I31" s="9">
        <v>24600</v>
      </c>
      <c r="J31" s="13">
        <f>IFERROR(VLOOKUP($I31,Option_Chain_Raw!$AE:$BD,VLOOKUP(J$12,Option_Chain_Raw!$BG$1:$BH$26,2,0),0),"")</f>
        <v>19.55</v>
      </c>
      <c r="K31" s="13">
        <f>IFERROR(VLOOKUP($I31,Option_Chain_Raw!$AE:$BD,VLOOKUP(K$12,Option_Chain_Raw!$BG$1:$BH$26,2,0),0),"")</f>
        <v>-34.900000000000006</v>
      </c>
      <c r="L31" s="12">
        <f>IFERROR(VLOOKUP($I31,Option_Chain_Raw!$AE:$BD,VLOOKUP(L$12,Option_Chain_Raw!$BG$1:$BH$26,2,0),0),"")</f>
        <v>426603825</v>
      </c>
      <c r="M31" s="12">
        <f>IFERROR(VLOOKUP($I31,Option_Chain_Raw!$AE:$BD,VLOOKUP(M$12,Option_Chain_Raw!$BG$1:$BH$26,2,0),0),"")</f>
        <v>245940</v>
      </c>
      <c r="N31" s="2">
        <f>IFERROR(VLOOKUP($I31,Option_Chain_Raw!$AE:$BD,VLOOKUP(N$12,Option_Chain_Raw!$BG$1:$BH$26,2,0),0),"")</f>
        <v>122986</v>
      </c>
      <c r="O31" s="14">
        <f>IFERROR(VLOOKUP($I31,Option_Chain_Raw!$AE:$BD,VLOOKUP(O$12,Option_Chain_Raw!$BG$1:$BH$26,2,0),0),"")</f>
        <v>0.11782834281935854</v>
      </c>
      <c r="P31" s="13">
        <f>IFERROR(VLOOKUP($I31,Option_Chain_Raw!$AE:$BD,VLOOKUP(P$12,Option_Chain_Raw!$BG$1:$BH$26,2,0),0),"")</f>
        <v>30.26</v>
      </c>
      <c r="Q31" s="9" t="str">
        <f t="shared" si="3"/>
        <v>FRESH_SHORT</v>
      </c>
      <c r="R31" s="13">
        <f t="shared" si="4"/>
        <v>4.6602493652177213</v>
      </c>
      <c r="S31" s="13">
        <f t="shared" si="5"/>
        <v>4.4269398041205665</v>
      </c>
      <c r="T31" s="17">
        <f>IFERROR(IF((I31*SUM($E$13:E31)-SUMPRODUCT($I$13:I31,$E$13:E31)+SUMPRODUCT($I31:I$200,$M31:M$200)-$I31*SUM($M31:M$200))&lt;0,"",(I31*SUM($E$13:E31)-SUMPRODUCT($I$13:I31,$E$13:E31)+SUMPRODUCT($I31:I$200,$M31:M$200)-$I31*SUM($M31:M$200))),"")</f>
        <v>201404700</v>
      </c>
    </row>
    <row r="32" spans="1:20" x14ac:dyDescent="0.2">
      <c r="A32" s="9" t="str">
        <f t="shared" si="2"/>
        <v>FRESH_LONG</v>
      </c>
      <c r="B32" s="13">
        <f>IFERROR(VLOOKUP($I32,Option_Chain_Raw!$E:$AD,VLOOKUP(B$12,Option_Chain_Raw!$BG$1:$BH$26,2,0),0),"")</f>
        <v>114.5</v>
      </c>
      <c r="C32" s="14">
        <f>IFERROR(VLOOKUP($I32,Option_Chain_Raw!$E:$AD,VLOOKUP(C$12,Option_Chain_Raw!$BG$1:$BH$26,2,0),0),"")</f>
        <v>0.16296884390599767</v>
      </c>
      <c r="D32" s="2">
        <f>IFERROR(VLOOKUP($I32,Option_Chain_Raw!$E:$AD,VLOOKUP(D$12,Option_Chain_Raw!$BG$1:$BH$26,2,0),0),"")</f>
        <v>29738</v>
      </c>
      <c r="E32" s="2">
        <f>IFERROR(VLOOKUP($I32,Option_Chain_Raw!$E:$AD,VLOOKUP(E$12,Option_Chain_Raw!$BG$1:$BH$26,2,0),0),"")</f>
        <v>70771</v>
      </c>
      <c r="F32" s="12">
        <f>IFERROR(VLOOKUP($I32,Option_Chain_Raw!$E:$AD,VLOOKUP(F$12,Option_Chain_Raw!$BG$1:$BH$26,2,0),0),"")</f>
        <v>152126250</v>
      </c>
      <c r="G32" s="13">
        <f>IFERROR(VLOOKUP($I32,Option_Chain_Raw!$E:$AD,VLOOKUP(G$12,Option_Chain_Raw!$BG$1:$BH$26,2,0),0),"")</f>
        <v>17.050000000000011</v>
      </c>
      <c r="H32" s="13">
        <f>IFERROR(VLOOKUP($I32,Option_Chain_Raw!$E:$AD,VLOOKUP(H$12,Option_Chain_Raw!$BG$1:$BH$26,2,0),0),"")</f>
        <v>128.80000000000001</v>
      </c>
      <c r="I32" s="9">
        <v>24650</v>
      </c>
      <c r="J32" s="13">
        <f>IFERROR(VLOOKUP($I32,Option_Chain_Raw!$AE:$BD,VLOOKUP(J$12,Option_Chain_Raw!$BG$1:$BH$26,2,0),0),"")</f>
        <v>27.9</v>
      </c>
      <c r="K32" s="13">
        <f>IFERROR(VLOOKUP($I32,Option_Chain_Raw!$AE:$BD,VLOOKUP(K$12,Option_Chain_Raw!$BG$1:$BH$26,2,0),0),"")</f>
        <v>-44.4</v>
      </c>
      <c r="L32" s="12">
        <f>IFERROR(VLOOKUP($I32,Option_Chain_Raw!$AE:$BD,VLOOKUP(L$12,Option_Chain_Raw!$BG$1:$BH$26,2,0),0),"")</f>
        <v>439001325</v>
      </c>
      <c r="M32" s="12">
        <f>IFERROR(VLOOKUP($I32,Option_Chain_Raw!$AE:$BD,VLOOKUP(M$12,Option_Chain_Raw!$BG$1:$BH$26,2,0),0),"")</f>
        <v>158619</v>
      </c>
      <c r="N32" s="2">
        <f>IFERROR(VLOOKUP($I32,Option_Chain_Raw!$AE:$BD,VLOOKUP(N$12,Option_Chain_Raw!$BG$1:$BH$26,2,0),0),"")</f>
        <v>90384</v>
      </c>
      <c r="O32" s="14">
        <f>IFERROR(VLOOKUP($I32,Option_Chain_Raw!$AE:$BD,VLOOKUP(O$12,Option_Chain_Raw!$BG$1:$BH$26,2,0),0),"")</f>
        <v>0.10717818701155986</v>
      </c>
      <c r="P32" s="13">
        <f>IFERROR(VLOOKUP($I32,Option_Chain_Raw!$AE:$BD,VLOOKUP(P$12,Option_Chain_Raw!$BG$1:$BH$26,2,0),0),"")</f>
        <v>41.28</v>
      </c>
      <c r="Q32" s="9" t="str">
        <f t="shared" si="3"/>
        <v>FRESH_SHORT</v>
      </c>
      <c r="R32" s="13">
        <f t="shared" si="4"/>
        <v>2.2412994022975514</v>
      </c>
      <c r="S32" s="13">
        <f t="shared" si="5"/>
        <v>2.8857697142998004</v>
      </c>
      <c r="T32" s="17">
        <f>IFERROR(IF((I32*SUM($E$13:E32)-SUMPRODUCT($I$13:I32,$E$13:E32)+SUMPRODUCT($I32:I$200,$M32:M$200)-$I32*SUM($M32:M$200))&lt;0,"",(I32*SUM($E$13:E32)-SUMPRODUCT($I$13:I32,$E$13:E32)+SUMPRODUCT($I32:I$200,$M32:M$200)-$I32*SUM($M32:M$200))),"")</f>
        <v>165095350</v>
      </c>
    </row>
    <row r="33" spans="1:20" x14ac:dyDescent="0.2">
      <c r="A33" s="9" t="str">
        <f t="shared" si="2"/>
        <v>FRESH_LONG</v>
      </c>
      <c r="B33" s="13">
        <f>IFERROR(VLOOKUP($I33,Option_Chain_Raw!$E:$AD,VLOOKUP(B$12,Option_Chain_Raw!$BG$1:$BH$26,2,0),0),"")</f>
        <v>92.14</v>
      </c>
      <c r="C33" s="14">
        <f>IFERROR(VLOOKUP($I33,Option_Chain_Raw!$E:$AD,VLOOKUP(C$12,Option_Chain_Raw!$BG$1:$BH$26,2,0),0),"")</f>
        <v>0.14884850693780949</v>
      </c>
      <c r="D33" s="2">
        <f>IFERROR(VLOOKUP($I33,Option_Chain_Raw!$E:$AD,VLOOKUP(D$12,Option_Chain_Raw!$BG$1:$BH$26,2,0),0),"")</f>
        <v>126557</v>
      </c>
      <c r="E33" s="2">
        <f>IFERROR(VLOOKUP($I33,Option_Chain_Raw!$E:$AD,VLOOKUP(E$12,Option_Chain_Raw!$BG$1:$BH$26,2,0),0),"")</f>
        <v>228150</v>
      </c>
      <c r="F33" s="12">
        <f>IFERROR(VLOOKUP($I33,Option_Chain_Raw!$E:$AD,VLOOKUP(F$12,Option_Chain_Raw!$BG$1:$BH$26,2,0),0),"")</f>
        <v>392275350</v>
      </c>
      <c r="G33" s="13">
        <f>IFERROR(VLOOKUP($I33,Option_Chain_Raw!$E:$AD,VLOOKUP(G$12,Option_Chain_Raw!$BG$1:$BH$26,2,0),0),"")</f>
        <v>7.5</v>
      </c>
      <c r="H33" s="13">
        <f>IFERROR(VLOOKUP($I33,Option_Chain_Raw!$E:$AD,VLOOKUP(H$12,Option_Chain_Raw!$BG$1:$BH$26,2,0),0),"")</f>
        <v>92</v>
      </c>
      <c r="I33" s="37">
        <v>24700</v>
      </c>
      <c r="J33" s="13">
        <f>IFERROR(VLOOKUP($I33,Option_Chain_Raw!$AE:$BD,VLOOKUP(J$12,Option_Chain_Raw!$BG$1:$BH$26,2,0),0),"")</f>
        <v>40.5</v>
      </c>
      <c r="K33" s="13">
        <f>IFERROR(VLOOKUP($I33,Option_Chain_Raw!$AE:$BD,VLOOKUP(K$12,Option_Chain_Raw!$BG$1:$BH$26,2,0),0),"")</f>
        <v>-54.25</v>
      </c>
      <c r="L33" s="12">
        <f>IFERROR(VLOOKUP($I33,Option_Chain_Raw!$AE:$BD,VLOOKUP(L$12,Option_Chain_Raw!$BG$1:$BH$26,2,0),0),"")</f>
        <v>644163675</v>
      </c>
      <c r="M33" s="12">
        <f>IFERROR(VLOOKUP($I33,Option_Chain_Raw!$AE:$BD,VLOOKUP(M$12,Option_Chain_Raw!$BG$1:$BH$26,2,0),0),"")</f>
        <v>236560</v>
      </c>
      <c r="N33" s="2">
        <f>IFERROR(VLOOKUP($I33,Option_Chain_Raw!$AE:$BD,VLOOKUP(N$12,Option_Chain_Raw!$BG$1:$BH$26,2,0),0),"")</f>
        <v>157558</v>
      </c>
      <c r="O33" s="14">
        <f>IFERROR(VLOOKUP($I33,Option_Chain_Raw!$AE:$BD,VLOOKUP(O$12,Option_Chain_Raw!$BG$1:$BH$26,2,0),0),"")</f>
        <v>9.6043539481262472E-2</v>
      </c>
      <c r="P33" s="13">
        <f>IFERROR(VLOOKUP($I33,Option_Chain_Raw!$AE:$BD,VLOOKUP(P$12,Option_Chain_Raw!$BG$1:$BH$26,2,0),0),"")</f>
        <v>51.76</v>
      </c>
      <c r="Q33" s="9" t="str">
        <f t="shared" si="3"/>
        <v>FRESH_SHORT</v>
      </c>
      <c r="R33" s="13">
        <f t="shared" si="4"/>
        <v>1.0368617137847906</v>
      </c>
      <c r="S33" s="13">
        <f t="shared" si="5"/>
        <v>1.6421212166403012</v>
      </c>
      <c r="T33" s="17">
        <f>IFERROR(IF((I33*SUM($E$13:E33)-SUMPRODUCT($I$13:I33,$E$13:E33)+SUMPRODUCT($I33:I$200,$M33:M$200)-$I33*SUM($M33:M$200))&lt;0,"",(I33*SUM($E$13:E33)-SUMPRODUCT($I$13:I33,$E$13:E33)+SUMPRODUCT($I33:I$200,$M33:M$200)-$I33*SUM($M33:M$200))),"")</f>
        <v>140255500</v>
      </c>
    </row>
    <row r="34" spans="1:20" x14ac:dyDescent="0.2">
      <c r="A34" s="9" t="str">
        <f t="shared" si="2"/>
        <v>FRESH_SHORT</v>
      </c>
      <c r="B34" s="13">
        <f>IFERROR(VLOOKUP($I34,Option_Chain_Raw!$E:$AD,VLOOKUP(B$12,Option_Chain_Raw!$BG$1:$BH$26,2,0),0),"")</f>
        <v>71.62</v>
      </c>
      <c r="C34" s="14">
        <f>IFERROR(VLOOKUP($I34,Option_Chain_Raw!$E:$AD,VLOOKUP(C$12,Option_Chain_Raw!$BG$1:$BH$26,2,0),0),"")</f>
        <v>0.13672944707365758</v>
      </c>
      <c r="D34" s="2">
        <f>IFERROR(VLOOKUP($I34,Option_Chain_Raw!$E:$AD,VLOOKUP(D$12,Option_Chain_Raw!$BG$1:$BH$26,2,0),0),"")</f>
        <v>127623</v>
      </c>
      <c r="E34" s="2">
        <f>IFERROR(VLOOKUP($I34,Option_Chain_Raw!$E:$AD,VLOOKUP(E$12,Option_Chain_Raw!$BG$1:$BH$26,2,0),0),"")</f>
        <v>187032</v>
      </c>
      <c r="F34" s="12">
        <f>IFERROR(VLOOKUP($I34,Option_Chain_Raw!$E:$AD,VLOOKUP(F$12,Option_Chain_Raw!$BG$1:$BH$26,2,0),0),"")</f>
        <v>380151525</v>
      </c>
      <c r="G34" s="13">
        <f>IFERROR(VLOOKUP($I34,Option_Chain_Raw!$E:$AD,VLOOKUP(G$12,Option_Chain_Raw!$BG$1:$BH$26,2,0),0),"")</f>
        <v>-2.0500000000000043</v>
      </c>
      <c r="H34" s="13">
        <f>IFERROR(VLOOKUP($I34,Option_Chain_Raw!$E:$AD,VLOOKUP(H$12,Option_Chain_Raw!$BG$1:$BH$26,2,0),0),"")</f>
        <v>60.8</v>
      </c>
      <c r="I34" s="9">
        <v>24750</v>
      </c>
      <c r="J34" s="13">
        <f>IFERROR(VLOOKUP($I34,Option_Chain_Raw!$AE:$BD,VLOOKUP(J$12,Option_Chain_Raw!$BG$1:$BH$26,2,0),0),"")</f>
        <v>60.05</v>
      </c>
      <c r="K34" s="13">
        <f>IFERROR(VLOOKUP($I34,Option_Chain_Raw!$AE:$BD,VLOOKUP(K$12,Option_Chain_Raw!$BG$1:$BH$26,2,0),0),"")</f>
        <v>-63.2</v>
      </c>
      <c r="L34" s="12">
        <f>IFERROR(VLOOKUP($I34,Option_Chain_Raw!$AE:$BD,VLOOKUP(L$12,Option_Chain_Raw!$BG$1:$BH$26,2,0),0),"")</f>
        <v>389974800</v>
      </c>
      <c r="M34" s="12">
        <f>IFERROR(VLOOKUP($I34,Option_Chain_Raw!$AE:$BD,VLOOKUP(M$12,Option_Chain_Raw!$BG$1:$BH$26,2,0),0),"")</f>
        <v>83143</v>
      </c>
      <c r="N34" s="2">
        <f>IFERROR(VLOOKUP($I34,Option_Chain_Raw!$AE:$BD,VLOOKUP(N$12,Option_Chain_Raw!$BG$1:$BH$26,2,0),0),"")</f>
        <v>55006</v>
      </c>
      <c r="O34" s="14">
        <f>IFERROR(VLOOKUP($I34,Option_Chain_Raw!$AE:$BD,VLOOKUP(O$12,Option_Chain_Raw!$BG$1:$BH$26,2,0),0),"")</f>
        <v>8.5117295461800496E-2</v>
      </c>
      <c r="P34" s="13">
        <f>IFERROR(VLOOKUP($I34,Option_Chain_Raw!$AE:$BD,VLOOKUP(P$12,Option_Chain_Raw!$BG$1:$BH$26,2,0),0),"")</f>
        <v>63.6</v>
      </c>
      <c r="Q34" s="9" t="str">
        <f t="shared" si="3"/>
        <v>FRESH_SHORT</v>
      </c>
      <c r="R34" s="13">
        <f t="shared" si="4"/>
        <v>0.44453890243380811</v>
      </c>
      <c r="S34" s="13">
        <f t="shared" si="5"/>
        <v>1.0258404198168085</v>
      </c>
      <c r="T34" s="17">
        <f>IFERROR(IF((I34*SUM($E$13:E34)-SUMPRODUCT($I$13:I34,$E$13:E34)+SUMPRODUCT($I34:I$200,$M34:M$200)-$I34*SUM($M34:M$200))&lt;0,"",(I34*SUM($E$13:E34)-SUMPRODUCT($I$13:I34,$E$13:E34)+SUMPRODUCT($I34:I$200,$M34:M$200)-$I34*SUM($M34:M$200))),"")</f>
        <v>138651150</v>
      </c>
    </row>
    <row r="35" spans="1:20" x14ac:dyDescent="0.2">
      <c r="A35" s="9" t="str">
        <f t="shared" si="2"/>
        <v>FRESH_SHORT</v>
      </c>
      <c r="B35" s="13">
        <f>IFERROR(VLOOKUP($I35,Option_Chain_Raw!$E:$AD,VLOOKUP(B$12,Option_Chain_Raw!$BG$1:$BH$26,2,0),0),"")</f>
        <v>50.07</v>
      </c>
      <c r="C35" s="14">
        <f>IFERROR(VLOOKUP($I35,Option_Chain_Raw!$E:$AD,VLOOKUP(C$12,Option_Chain_Raw!$BG$1:$BH$26,2,0),0),"")</f>
        <v>0.13056128509285431</v>
      </c>
      <c r="D35" s="2">
        <f>IFERROR(VLOOKUP($I35,Option_Chain_Raw!$E:$AD,VLOOKUP(D$12,Option_Chain_Raw!$BG$1:$BH$26,2,0),0),"")</f>
        <v>140429</v>
      </c>
      <c r="E35" s="2">
        <f>IFERROR(VLOOKUP($I35,Option_Chain_Raw!$E:$AD,VLOOKUP(E$12,Option_Chain_Raw!$BG$1:$BH$26,2,0),0),"")</f>
        <v>308550</v>
      </c>
      <c r="F35" s="12">
        <f>IFERROR(VLOOKUP($I35,Option_Chain_Raw!$E:$AD,VLOOKUP(F$12,Option_Chain_Raw!$BG$1:$BH$26,2,0),0),"")</f>
        <v>499759950</v>
      </c>
      <c r="G35" s="13">
        <f>IFERROR(VLOOKUP($I35,Option_Chain_Raw!$E:$AD,VLOOKUP(G$12,Option_Chain_Raw!$BG$1:$BH$26,2,0),0),"")</f>
        <v>-8.0499999999999972</v>
      </c>
      <c r="H35" s="13">
        <f>IFERROR(VLOOKUP($I35,Option_Chain_Raw!$E:$AD,VLOOKUP(H$12,Option_Chain_Raw!$BG$1:$BH$26,2,0),0),"")</f>
        <v>38.35</v>
      </c>
      <c r="I35" s="9">
        <v>24800</v>
      </c>
      <c r="J35" s="13">
        <f>IFERROR(VLOOKUP($I35,Option_Chain_Raw!$AE:$BD,VLOOKUP(J$12,Option_Chain_Raw!$BG$1:$BH$26,2,0),0),"")</f>
        <v>87.65</v>
      </c>
      <c r="K35" s="13">
        <f>IFERROR(VLOOKUP($I35,Option_Chain_Raw!$AE:$BD,VLOOKUP(K$12,Option_Chain_Raw!$BG$1:$BH$26,2,0),0),"")</f>
        <v>-69.199999999999989</v>
      </c>
      <c r="L35" s="12">
        <f>IFERROR(VLOOKUP($I35,Option_Chain_Raw!$AE:$BD,VLOOKUP(L$12,Option_Chain_Raw!$BG$1:$BH$26,2,0),0),"")</f>
        <v>340450350</v>
      </c>
      <c r="M35" s="12">
        <f>IFERROR(VLOOKUP($I35,Option_Chain_Raw!$AE:$BD,VLOOKUP(M$12,Option_Chain_Raw!$BG$1:$BH$26,2,0),0),"")</f>
        <v>100895</v>
      </c>
      <c r="N35" s="2">
        <f>IFERROR(VLOOKUP($I35,Option_Chain_Raw!$AE:$BD,VLOOKUP(N$12,Option_Chain_Raw!$BG$1:$BH$26,2,0),0),"")</f>
        <v>31042</v>
      </c>
      <c r="O35" s="14">
        <f>IFERROR(VLOOKUP($I35,Option_Chain_Raw!$AE:$BD,VLOOKUP(O$12,Option_Chain_Raw!$BG$1:$BH$26,2,0),0),"")</f>
        <v>7.0365788142649641E-2</v>
      </c>
      <c r="P35" s="13">
        <f>IFERROR(VLOOKUP($I35,Option_Chain_Raw!$AE:$BD,VLOOKUP(P$12,Option_Chain_Raw!$BG$1:$BH$26,2,0),0),"")</f>
        <v>86.2</v>
      </c>
      <c r="Q35" s="9" t="str">
        <f t="shared" si="3"/>
        <v>FRESH_SHORT</v>
      </c>
      <c r="R35" s="13">
        <f t="shared" si="4"/>
        <v>0.32699724517906337</v>
      </c>
      <c r="S35" s="13">
        <f t="shared" si="5"/>
        <v>0.68122775744635</v>
      </c>
      <c r="T35" s="17">
        <f>IFERROR(IF((I35*SUM($E$13:E35)-SUMPRODUCT($I$13:I35,$E$13:E35)+SUMPRODUCT($I35:I$200,$M35:M$200)-$I35*SUM($M35:M$200))&lt;0,"",(I35*SUM($E$13:E35)-SUMPRODUCT($I$13:I35,$E$13:E35)+SUMPRODUCT($I35:I$200,$M35:M$200)-$I35*SUM($M35:M$200))),"")</f>
        <v>150555550</v>
      </c>
    </row>
    <row r="36" spans="1:20" x14ac:dyDescent="0.2">
      <c r="A36" s="9" t="str">
        <f t="shared" si="2"/>
        <v>FRESH_SHORT</v>
      </c>
      <c r="B36" s="13">
        <f>IFERROR(VLOOKUP($I36,Option_Chain_Raw!$E:$AD,VLOOKUP(B$12,Option_Chain_Raw!$BG$1:$BH$26,2,0),0),"")</f>
        <v>33.049999999999997</v>
      </c>
      <c r="C36" s="14">
        <f>IFERROR(VLOOKUP($I36,Option_Chain_Raw!$E:$AD,VLOOKUP(C$12,Option_Chain_Raw!$BG$1:$BH$26,2,0),0),"")</f>
        <v>0.12925345422208759</v>
      </c>
      <c r="D36" s="2">
        <f>IFERROR(VLOOKUP($I36,Option_Chain_Raw!$E:$AD,VLOOKUP(D$12,Option_Chain_Raw!$BG$1:$BH$26,2,0),0),"")</f>
        <v>81716</v>
      </c>
      <c r="E36" s="2">
        <f>IFERROR(VLOOKUP($I36,Option_Chain_Raw!$E:$AD,VLOOKUP(E$12,Option_Chain_Raw!$BG$1:$BH$26,2,0),0),"")</f>
        <v>162334</v>
      </c>
      <c r="F36" s="12">
        <f>IFERROR(VLOOKUP($I36,Option_Chain_Raw!$E:$AD,VLOOKUP(F$12,Option_Chain_Raw!$BG$1:$BH$26,2,0),0),"")</f>
        <v>280026675</v>
      </c>
      <c r="G36" s="13">
        <f>IFERROR(VLOOKUP($I36,Option_Chain_Raw!$E:$AD,VLOOKUP(G$12,Option_Chain_Raw!$BG$1:$BH$26,2,0),0),"")</f>
        <v>-10.5</v>
      </c>
      <c r="H36" s="13">
        <f>IFERROR(VLOOKUP($I36,Option_Chain_Raw!$E:$AD,VLOOKUP(H$12,Option_Chain_Raw!$BG$1:$BH$26,2,0),0),"")</f>
        <v>23.75</v>
      </c>
      <c r="I36" s="9">
        <v>24850</v>
      </c>
      <c r="J36" s="13">
        <f>IFERROR(VLOOKUP($I36,Option_Chain_Raw!$AE:$BD,VLOOKUP(J$12,Option_Chain_Raw!$BG$1:$BH$26,2,0),0),"")</f>
        <v>123.1</v>
      </c>
      <c r="K36" s="13">
        <f>IFERROR(VLOOKUP($I36,Option_Chain_Raw!$AE:$BD,VLOOKUP(K$12,Option_Chain_Raw!$BG$1:$BH$26,2,0),0),"")</f>
        <v>-71.900000000000006</v>
      </c>
      <c r="L36" s="12">
        <f>IFERROR(VLOOKUP($I36,Option_Chain_Raw!$AE:$BD,VLOOKUP(L$12,Option_Chain_Raw!$BG$1:$BH$26,2,0),0),"")</f>
        <v>90057450</v>
      </c>
      <c r="M36" s="12">
        <f>IFERROR(VLOOKUP($I36,Option_Chain_Raw!$AE:$BD,VLOOKUP(M$12,Option_Chain_Raw!$BG$1:$BH$26,2,0),0),"")</f>
        <v>24095</v>
      </c>
      <c r="N36" s="2">
        <f>IFERROR(VLOOKUP($I36,Option_Chain_Raw!$AE:$BD,VLOOKUP(N$12,Option_Chain_Raw!$BG$1:$BH$26,2,0),0),"")</f>
        <v>5349</v>
      </c>
      <c r="O36" s="14">
        <f>IFERROR(VLOOKUP($I36,Option_Chain_Raw!$AE:$BD,VLOOKUP(O$12,Option_Chain_Raw!$BG$1:$BH$26,2,0),0),"")</f>
        <v>0</v>
      </c>
      <c r="P36" s="13">
        <f>IFERROR(VLOOKUP($I36,Option_Chain_Raw!$AE:$BD,VLOOKUP(P$12,Option_Chain_Raw!$BG$1:$BH$26,2,0),0),"")</f>
        <v>114.16</v>
      </c>
      <c r="Q36" s="9" t="str">
        <f t="shared" si="3"/>
        <v>FRESH_SHORT</v>
      </c>
      <c r="R36" s="13">
        <f t="shared" si="4"/>
        <v>0.14842854854805523</v>
      </c>
      <c r="S36" s="13">
        <f t="shared" si="5"/>
        <v>0.32160311156071114</v>
      </c>
      <c r="T36" s="17">
        <f>IFERROR(IF((I36*SUM($E$13:E36)-SUMPRODUCT($I$13:I36,$E$13:E36)+SUMPRODUCT($I36:I$200,$M36:M$200)-$I36*SUM($M36:M$200))&lt;0,"",(I36*SUM($E$13:E36)-SUMPRODUCT($I$13:I36,$E$13:E36)+SUMPRODUCT($I36:I$200,$M36:M$200)-$I36*SUM($M36:M$200))),"")</f>
        <v>182932200</v>
      </c>
    </row>
    <row r="37" spans="1:20" x14ac:dyDescent="0.2">
      <c r="A37" s="9" t="str">
        <f t="shared" si="2"/>
        <v>FRESH_SHORT</v>
      </c>
      <c r="B37" s="13">
        <f>IFERROR(VLOOKUP($I37,Option_Chain_Raw!$E:$AD,VLOOKUP(B$12,Option_Chain_Raw!$BG$1:$BH$26,2,0),0),"")</f>
        <v>20.85</v>
      </c>
      <c r="C37" s="14">
        <f>IFERROR(VLOOKUP($I37,Option_Chain_Raw!$E:$AD,VLOOKUP(C$12,Option_Chain_Raw!$BG$1:$BH$26,2,0),0),"")</f>
        <v>0.13262304446852752</v>
      </c>
      <c r="D37" s="2">
        <f>IFERROR(VLOOKUP($I37,Option_Chain_Raw!$E:$AD,VLOOKUP(D$12,Option_Chain_Raw!$BG$1:$BH$26,2,0),0),"")</f>
        <v>63694</v>
      </c>
      <c r="E37" s="2">
        <f>IFERROR(VLOOKUP($I37,Option_Chain_Raw!$E:$AD,VLOOKUP(E$12,Option_Chain_Raw!$BG$1:$BH$26,2,0),0),"")</f>
        <v>223888</v>
      </c>
      <c r="F37" s="12">
        <f>IFERROR(VLOOKUP($I37,Option_Chain_Raw!$E:$AD,VLOOKUP(F$12,Option_Chain_Raw!$BG$1:$BH$26,2,0),0),"")</f>
        <v>279541875</v>
      </c>
      <c r="G37" s="13">
        <f>IFERROR(VLOOKUP($I37,Option_Chain_Raw!$E:$AD,VLOOKUP(G$12,Option_Chain_Raw!$BG$1:$BH$26,2,0),0),"")</f>
        <v>-10.45</v>
      </c>
      <c r="H37" s="13">
        <f>IFERROR(VLOOKUP($I37,Option_Chain_Raw!$E:$AD,VLOOKUP(H$12,Option_Chain_Raw!$BG$1:$BH$26,2,0),0),"")</f>
        <v>15.25</v>
      </c>
      <c r="I37" s="9">
        <v>24900</v>
      </c>
      <c r="J37" s="13">
        <f>IFERROR(VLOOKUP($I37,Option_Chain_Raw!$AE:$BD,VLOOKUP(J$12,Option_Chain_Raw!$BG$1:$BH$26,2,0),0),"")</f>
        <v>164.75</v>
      </c>
      <c r="K37" s="13">
        <f>IFERROR(VLOOKUP($I37,Option_Chain_Raw!$AE:$BD,VLOOKUP(K$12,Option_Chain_Raw!$BG$1:$BH$26,2,0),0),"")</f>
        <v>-71.75</v>
      </c>
      <c r="L37" s="12">
        <f>IFERROR(VLOOKUP($I37,Option_Chain_Raw!$AE:$BD,VLOOKUP(L$12,Option_Chain_Raw!$BG$1:$BH$26,2,0),0),"")</f>
        <v>68128275</v>
      </c>
      <c r="M37" s="12">
        <f>IFERROR(VLOOKUP($I37,Option_Chain_Raw!$AE:$BD,VLOOKUP(M$12,Option_Chain_Raw!$BG$1:$BH$26,2,0),0),"")</f>
        <v>39155</v>
      </c>
      <c r="N37" s="2">
        <f>IFERROR(VLOOKUP($I37,Option_Chain_Raw!$AE:$BD,VLOOKUP(N$12,Option_Chain_Raw!$BG$1:$BH$26,2,0),0),"")</f>
        <v>-13122</v>
      </c>
      <c r="O37" s="14">
        <f>IFERROR(VLOOKUP($I37,Option_Chain_Raw!$AE:$BD,VLOOKUP(O$12,Option_Chain_Raw!$BG$1:$BH$26,2,0),0),"")</f>
        <v>0</v>
      </c>
      <c r="P37" s="13">
        <f>IFERROR(VLOOKUP($I37,Option_Chain_Raw!$AE:$BD,VLOOKUP(P$12,Option_Chain_Raw!$BG$1:$BH$26,2,0),0),"")</f>
        <v>149.75</v>
      </c>
      <c r="Q37" s="9" t="str">
        <f t="shared" si="3"/>
        <v>LONG_UNWIND</v>
      </c>
      <c r="R37" s="13">
        <f t="shared" si="4"/>
        <v>0.17488655041806617</v>
      </c>
      <c r="S37" s="13">
        <f t="shared" si="5"/>
        <v>0.24371402316736981</v>
      </c>
      <c r="T37" s="17">
        <f>IFERROR(IF((I37*SUM($E$13:E37)-SUMPRODUCT($I$13:I37,$E$13:E37)+SUMPRODUCT($I37:I$200,$M37:M$200)-$I37*SUM($M37:M$200))&lt;0,"",(I37*SUM($E$13:E37)-SUMPRODUCT($I$13:I37,$E$13:E37)+SUMPRODUCT($I37:I$200,$M37:M$200)-$I37*SUM($M37:M$200))),"")</f>
        <v>224630300</v>
      </c>
    </row>
    <row r="38" spans="1:20" x14ac:dyDescent="0.2">
      <c r="A38" s="9" t="str">
        <f t="shared" si="2"/>
        <v>FRESH_SHORT</v>
      </c>
      <c r="B38" s="13">
        <f>IFERROR(VLOOKUP($I38,Option_Chain_Raw!$E:$AD,VLOOKUP(B$12,Option_Chain_Raw!$BG$1:$BH$26,2,0),0),"")</f>
        <v>13.34</v>
      </c>
      <c r="C38" s="14">
        <f>IFERROR(VLOOKUP($I38,Option_Chain_Raw!$E:$AD,VLOOKUP(C$12,Option_Chain_Raw!$BG$1:$BH$26,2,0),0),"")</f>
        <v>0.13625665509185192</v>
      </c>
      <c r="D38" s="2">
        <f>IFERROR(VLOOKUP($I38,Option_Chain_Raw!$E:$AD,VLOOKUP(D$12,Option_Chain_Raw!$BG$1:$BH$26,2,0),0),"")</f>
        <v>43373</v>
      </c>
      <c r="E38" s="2">
        <f>IFERROR(VLOOKUP($I38,Option_Chain_Raw!$E:$AD,VLOOKUP(E$12,Option_Chain_Raw!$BG$1:$BH$26,2,0),0),"")</f>
        <v>129117</v>
      </c>
      <c r="F38" s="12">
        <f>IFERROR(VLOOKUP($I38,Option_Chain_Raw!$E:$AD,VLOOKUP(F$12,Option_Chain_Raw!$BG$1:$BH$26,2,0),0),"")</f>
        <v>145234575</v>
      </c>
      <c r="G38" s="13">
        <f>IFERROR(VLOOKUP($I38,Option_Chain_Raw!$E:$AD,VLOOKUP(G$12,Option_Chain_Raw!$BG$1:$BH$26,2,0),0),"")</f>
        <v>-10.200000000000001</v>
      </c>
      <c r="H38" s="13">
        <f>IFERROR(VLOOKUP($I38,Option_Chain_Raw!$E:$AD,VLOOKUP(H$12,Option_Chain_Raw!$BG$1:$BH$26,2,0),0),"")</f>
        <v>9.65</v>
      </c>
      <c r="I38" s="9">
        <v>24950</v>
      </c>
      <c r="J38" s="13">
        <f>IFERROR(VLOOKUP($I38,Option_Chain_Raw!$AE:$BD,VLOOKUP(J$12,Option_Chain_Raw!$BG$1:$BH$26,2,0),0),"")</f>
        <v>209.85</v>
      </c>
      <c r="K38" s="13">
        <f>IFERROR(VLOOKUP($I38,Option_Chain_Raw!$AE:$BD,VLOOKUP(K$12,Option_Chain_Raw!$BG$1:$BH$26,2,0),0),"")</f>
        <v>-70.299999999999983</v>
      </c>
      <c r="L38" s="12">
        <f>IFERROR(VLOOKUP($I38,Option_Chain_Raw!$AE:$BD,VLOOKUP(L$12,Option_Chain_Raw!$BG$1:$BH$26,2,0),0),"")</f>
        <v>13168050</v>
      </c>
      <c r="M38" s="12">
        <f>IFERROR(VLOOKUP($I38,Option_Chain_Raw!$AE:$BD,VLOOKUP(M$12,Option_Chain_Raw!$BG$1:$BH$26,2,0),0),"")</f>
        <v>13547</v>
      </c>
      <c r="N38" s="2">
        <f>IFERROR(VLOOKUP($I38,Option_Chain_Raw!$AE:$BD,VLOOKUP(N$12,Option_Chain_Raw!$BG$1:$BH$26,2,0),0),"")</f>
        <v>-825</v>
      </c>
      <c r="O38" s="14">
        <f>IFERROR(VLOOKUP($I38,Option_Chain_Raw!$AE:$BD,VLOOKUP(O$12,Option_Chain_Raw!$BG$1:$BH$26,2,0),0),"")</f>
        <v>0</v>
      </c>
      <c r="P38" s="13">
        <f>IFERROR(VLOOKUP($I38,Option_Chain_Raw!$AE:$BD,VLOOKUP(P$12,Option_Chain_Raw!$BG$1:$BH$26,2,0),0),"")</f>
        <v>191.78</v>
      </c>
      <c r="Q38" s="9" t="str">
        <f t="shared" si="3"/>
        <v>LONG_UNWIND</v>
      </c>
      <c r="R38" s="13">
        <f t="shared" si="4"/>
        <v>0.10492034356436411</v>
      </c>
      <c r="S38" s="13">
        <f t="shared" si="5"/>
        <v>9.0667459866219866E-2</v>
      </c>
      <c r="T38" s="17">
        <f>IFERROR(IF((I38*SUM($E$13:E38)-SUMPRODUCT($I$13:I38,$E$13:E38)+SUMPRODUCT($I38:I$200,$M38:M$200)-$I38*SUM($M38:M$200))&lt;0,"",(I38*SUM($E$13:E38)-SUMPRODUCT($I$13:I38,$E$13:E38)+SUMPRODUCT($I38:I$200,$M38:M$200)-$I38*SUM($M38:M$200))),"")</f>
        <v>279480550</v>
      </c>
    </row>
    <row r="39" spans="1:20" x14ac:dyDescent="0.2">
      <c r="A39" s="9" t="str">
        <f t="shared" si="2"/>
        <v>FRESH_SHORT</v>
      </c>
      <c r="B39" s="13">
        <f>IFERROR(VLOOKUP($I39,Option_Chain_Raw!$E:$AD,VLOOKUP(B$12,Option_Chain_Raw!$BG$1:$BH$26,2,0),0),"")</f>
        <v>9.0500000000000007</v>
      </c>
      <c r="C39" s="14">
        <f>IFERROR(VLOOKUP($I39,Option_Chain_Raw!$E:$AD,VLOOKUP(C$12,Option_Chain_Raw!$BG$1:$BH$26,2,0),0),"")</f>
        <v>0.14377783907214464</v>
      </c>
      <c r="D39" s="2">
        <f>IFERROR(VLOOKUP($I39,Option_Chain_Raw!$E:$AD,VLOOKUP(D$12,Option_Chain_Raw!$BG$1:$BH$26,2,0),0),"")</f>
        <v>38791</v>
      </c>
      <c r="E39" s="2">
        <f>IFERROR(VLOOKUP($I39,Option_Chain_Raw!$E:$AD,VLOOKUP(E$12,Option_Chain_Raw!$BG$1:$BH$26,2,0),0),"")</f>
        <v>279115</v>
      </c>
      <c r="F39" s="12">
        <f>IFERROR(VLOOKUP($I39,Option_Chain_Raw!$E:$AD,VLOOKUP(F$12,Option_Chain_Raw!$BG$1:$BH$26,2,0),0),"")</f>
        <v>205019325</v>
      </c>
      <c r="G39" s="13">
        <f>IFERROR(VLOOKUP($I39,Option_Chain_Raw!$E:$AD,VLOOKUP(G$12,Option_Chain_Raw!$BG$1:$BH$26,2,0),0),"")</f>
        <v>-8.8000000000000007</v>
      </c>
      <c r="H39" s="13">
        <f>IFERROR(VLOOKUP($I39,Option_Chain_Raw!$E:$AD,VLOOKUP(H$12,Option_Chain_Raw!$BG$1:$BH$26,2,0),0),"")</f>
        <v>6.75</v>
      </c>
      <c r="I39" s="9">
        <v>25000</v>
      </c>
      <c r="J39" s="13">
        <f>IFERROR(VLOOKUP($I39,Option_Chain_Raw!$AE:$BD,VLOOKUP(J$12,Option_Chain_Raw!$BG$1:$BH$26,2,0),0),"")</f>
        <v>256.89999999999998</v>
      </c>
      <c r="K39" s="13">
        <f>IFERROR(VLOOKUP($I39,Option_Chain_Raw!$AE:$BD,VLOOKUP(K$12,Option_Chain_Raw!$BG$1:$BH$26,2,0),0),"")</f>
        <v>-68.900000000000034</v>
      </c>
      <c r="L39" s="12">
        <f>IFERROR(VLOOKUP($I39,Option_Chain_Raw!$AE:$BD,VLOOKUP(L$12,Option_Chain_Raw!$BG$1:$BH$26,2,0),0),"")</f>
        <v>22220100</v>
      </c>
      <c r="M39" s="12">
        <f>IFERROR(VLOOKUP($I39,Option_Chain_Raw!$AE:$BD,VLOOKUP(M$12,Option_Chain_Raw!$BG$1:$BH$26,2,0),0),"")</f>
        <v>59268</v>
      </c>
      <c r="N39" s="2">
        <f>IFERROR(VLOOKUP($I39,Option_Chain_Raw!$AE:$BD,VLOOKUP(N$12,Option_Chain_Raw!$BG$1:$BH$26,2,0),0),"")</f>
        <v>-7165</v>
      </c>
      <c r="O39" s="14">
        <f>IFERROR(VLOOKUP($I39,Option_Chain_Raw!$AE:$BD,VLOOKUP(O$12,Option_Chain_Raw!$BG$1:$BH$26,2,0),0),"")</f>
        <v>0</v>
      </c>
      <c r="P39" s="13">
        <f>IFERROR(VLOOKUP($I39,Option_Chain_Raw!$AE:$BD,VLOOKUP(P$12,Option_Chain_Raw!$BG$1:$BH$26,2,0),0),"")</f>
        <v>244.4</v>
      </c>
      <c r="Q39" s="9" t="str">
        <f t="shared" si="3"/>
        <v>LONG_UNWIND</v>
      </c>
      <c r="R39" s="13">
        <f t="shared" si="4"/>
        <v>0.21234258280637014</v>
      </c>
      <c r="S39" s="13">
        <f t="shared" si="5"/>
        <v>0.10838051486122101</v>
      </c>
      <c r="T39" s="17">
        <f>IFERROR(IF((I39*SUM($E$13:E39)-SUMPRODUCT($I$13:I39,$E$13:E39)+SUMPRODUCT($I39:I$200,$M39:M$200)-$I39*SUM($M39:M$200))&lt;0,"",(I39*SUM($E$13:E39)-SUMPRODUCT($I$13:I39,$E$13:E39)+SUMPRODUCT($I39:I$200,$M39:M$200)-$I39*SUM($M39:M$200))),"")</f>
        <v>341464000</v>
      </c>
    </row>
    <row r="40" spans="1:20" x14ac:dyDescent="0.2">
      <c r="A40" s="9" t="str">
        <f t="shared" si="2"/>
        <v>LONG_UNWIND</v>
      </c>
      <c r="B40" s="13">
        <f>IFERROR(VLOOKUP($I40,Option_Chain_Raw!$E:$AD,VLOOKUP(B$12,Option_Chain_Raw!$BG$1:$BH$26,2,0),0),"")</f>
        <v>6.3</v>
      </c>
      <c r="C40" s="14">
        <f>IFERROR(VLOOKUP($I40,Option_Chain_Raw!$E:$AD,VLOOKUP(C$12,Option_Chain_Raw!$BG$1:$BH$26,2,0),0),"")</f>
        <v>0.15265274802249593</v>
      </c>
      <c r="D40" s="2">
        <f>IFERROR(VLOOKUP($I40,Option_Chain_Raw!$E:$AD,VLOOKUP(D$12,Option_Chain_Raw!$BG$1:$BH$26,2,0),0),"")</f>
        <v>-6891</v>
      </c>
      <c r="E40" s="2">
        <f>IFERROR(VLOOKUP($I40,Option_Chain_Raw!$E:$AD,VLOOKUP(E$12,Option_Chain_Raw!$BG$1:$BH$26,2,0),0),"")</f>
        <v>101683</v>
      </c>
      <c r="F40" s="12">
        <f>IFERROR(VLOOKUP($I40,Option_Chain_Raw!$E:$AD,VLOOKUP(F$12,Option_Chain_Raw!$BG$1:$BH$26,2,0),0),"")</f>
        <v>100024650</v>
      </c>
      <c r="G40" s="13">
        <f>IFERROR(VLOOKUP($I40,Option_Chain_Raw!$E:$AD,VLOOKUP(G$12,Option_Chain_Raw!$BG$1:$BH$26,2,0),0),"")</f>
        <v>-7.25</v>
      </c>
      <c r="H40" s="13">
        <f>IFERROR(VLOOKUP($I40,Option_Chain_Raw!$E:$AD,VLOOKUP(H$12,Option_Chain_Raw!$BG$1:$BH$26,2,0),0),"")</f>
        <v>5</v>
      </c>
      <c r="I40" s="9">
        <v>25050</v>
      </c>
      <c r="J40" s="13">
        <f>IFERROR(VLOOKUP($I40,Option_Chain_Raw!$AE:$BD,VLOOKUP(J$12,Option_Chain_Raw!$BG$1:$BH$26,2,0),0),"")</f>
        <v>303.7</v>
      </c>
      <c r="K40" s="13">
        <f>IFERROR(VLOOKUP($I40,Option_Chain_Raw!$AE:$BD,VLOOKUP(K$12,Option_Chain_Raw!$BG$1:$BH$26,2,0),0),"")</f>
        <v>-69.550000000000011</v>
      </c>
      <c r="L40" s="12">
        <f>IFERROR(VLOOKUP($I40,Option_Chain_Raw!$AE:$BD,VLOOKUP(L$12,Option_Chain_Raw!$BG$1:$BH$26,2,0),0),"")</f>
        <v>2238450</v>
      </c>
      <c r="M40" s="12">
        <f>IFERROR(VLOOKUP($I40,Option_Chain_Raw!$AE:$BD,VLOOKUP(M$12,Option_Chain_Raw!$BG$1:$BH$26,2,0),0),"")</f>
        <v>9601</v>
      </c>
      <c r="N40" s="2">
        <f>IFERROR(VLOOKUP($I40,Option_Chain_Raw!$AE:$BD,VLOOKUP(N$12,Option_Chain_Raw!$BG$1:$BH$26,2,0),0),"")</f>
        <v>-3924</v>
      </c>
      <c r="O40" s="14">
        <f>IFERROR(VLOOKUP($I40,Option_Chain_Raw!$AE:$BD,VLOOKUP(O$12,Option_Chain_Raw!$BG$1:$BH$26,2,0),0),"")</f>
        <v>0</v>
      </c>
      <c r="P40" s="13">
        <f>IFERROR(VLOOKUP($I40,Option_Chain_Raw!$AE:$BD,VLOOKUP(P$12,Option_Chain_Raw!$BG$1:$BH$26,2,0),0),"")</f>
        <v>282.2</v>
      </c>
      <c r="Q40" s="9" t="str">
        <f t="shared" si="3"/>
        <v>LONG_UNWIND</v>
      </c>
      <c r="R40" s="13">
        <f t="shared" si="4"/>
        <v>9.4420896315018238E-2</v>
      </c>
      <c r="S40" s="13">
        <f t="shared" si="5"/>
        <v>2.2378983580547396E-2</v>
      </c>
      <c r="T40" s="17">
        <f>IFERROR(IF((I40*SUM($E$13:E40)-SUMPRODUCT($I$13:I40,$E$13:E40)+SUMPRODUCT($I40:I$200,$M40:M$200)-$I40*SUM($M40:M$200))&lt;0,"",(I40*SUM($E$13:E40)-SUMPRODUCT($I$13:I40,$E$13:E40)+SUMPRODUCT($I40:I$200,$M40:M$200)-$I40*SUM($M40:M$200))),"")</f>
        <v>420366600</v>
      </c>
    </row>
    <row r="41" spans="1:20" x14ac:dyDescent="0.2">
      <c r="A41" s="9" t="str">
        <f t="shared" si="2"/>
        <v>LONG_UNWIND</v>
      </c>
      <c r="B41" s="13">
        <f>IFERROR(VLOOKUP($I41,Option_Chain_Raw!$E:$AD,VLOOKUP(B$12,Option_Chain_Raw!$BG$1:$BH$26,2,0),0),"")</f>
        <v>4.82</v>
      </c>
      <c r="C41" s="14">
        <f>IFERROR(VLOOKUP($I41,Option_Chain_Raw!$E:$AD,VLOOKUP(C$12,Option_Chain_Raw!$BG$1:$BH$26,2,0),0),"")</f>
        <v>0.16367566602921924</v>
      </c>
      <c r="D41" s="2">
        <f>IFERROR(VLOOKUP($I41,Option_Chain_Raw!$E:$AD,VLOOKUP(D$12,Option_Chain_Raw!$BG$1:$BH$26,2,0),0),"")</f>
        <v>-8109</v>
      </c>
      <c r="E41" s="2">
        <f>IFERROR(VLOOKUP($I41,Option_Chain_Raw!$E:$AD,VLOOKUP(E$12,Option_Chain_Raw!$BG$1:$BH$26,2,0),0),"")</f>
        <v>189604</v>
      </c>
      <c r="F41" s="12">
        <f>IFERROR(VLOOKUP($I41,Option_Chain_Raw!$E:$AD,VLOOKUP(F$12,Option_Chain_Raw!$BG$1:$BH$26,2,0),0),"")</f>
        <v>117016500</v>
      </c>
      <c r="G41" s="13">
        <f>IFERROR(VLOOKUP($I41,Option_Chain_Raw!$E:$AD,VLOOKUP(G$12,Option_Chain_Raw!$BG$1:$BH$26,2,0),0),"")</f>
        <v>-5.7500000000000009</v>
      </c>
      <c r="H41" s="13">
        <f>IFERROR(VLOOKUP($I41,Option_Chain_Raw!$E:$AD,VLOOKUP(H$12,Option_Chain_Raw!$BG$1:$BH$26,2,0),0),"")</f>
        <v>4.05</v>
      </c>
      <c r="I41" s="9">
        <v>25100</v>
      </c>
      <c r="J41" s="13">
        <f>IFERROR(VLOOKUP($I41,Option_Chain_Raw!$AE:$BD,VLOOKUP(J$12,Option_Chain_Raw!$BG$1:$BH$26,2,0),0),"")</f>
        <v>353.1</v>
      </c>
      <c r="K41" s="13">
        <f>IFERROR(VLOOKUP($I41,Option_Chain_Raw!$AE:$BD,VLOOKUP(K$12,Option_Chain_Raw!$BG$1:$BH$26,2,0),0),"")</f>
        <v>-65.949999999999989</v>
      </c>
      <c r="L41" s="12">
        <f>IFERROR(VLOOKUP($I41,Option_Chain_Raw!$AE:$BD,VLOOKUP(L$12,Option_Chain_Raw!$BG$1:$BH$26,2,0),0),"")</f>
        <v>3872700</v>
      </c>
      <c r="M41" s="12">
        <f>IFERROR(VLOOKUP($I41,Option_Chain_Raw!$AE:$BD,VLOOKUP(M$12,Option_Chain_Raw!$BG$1:$BH$26,2,0),0),"")</f>
        <v>23500</v>
      </c>
      <c r="N41" s="2">
        <f>IFERROR(VLOOKUP($I41,Option_Chain_Raw!$AE:$BD,VLOOKUP(N$12,Option_Chain_Raw!$BG$1:$BH$26,2,0),0),"")</f>
        <v>-3117</v>
      </c>
      <c r="O41" s="14">
        <f>IFERROR(VLOOKUP($I41,Option_Chain_Raw!$AE:$BD,VLOOKUP(O$12,Option_Chain_Raw!$BG$1:$BH$26,2,0),0),"")</f>
        <v>0</v>
      </c>
      <c r="P41" s="13">
        <f>IFERROR(VLOOKUP($I41,Option_Chain_Raw!$AE:$BD,VLOOKUP(P$12,Option_Chain_Raw!$BG$1:$BH$26,2,0),0),"")</f>
        <v>341.05</v>
      </c>
      <c r="Q41" s="9" t="str">
        <f t="shared" si="3"/>
        <v>LONG_UNWIND</v>
      </c>
      <c r="R41" s="13">
        <f t="shared" si="4"/>
        <v>0.12394253285795659</v>
      </c>
      <c r="S41" s="13">
        <f t="shared" si="5"/>
        <v>3.3095332709489687E-2</v>
      </c>
      <c r="T41" s="17">
        <f>IFERROR(IF((I41*SUM($E$13:E41)-SUMPRODUCT($I$13:I41,$E$13:E41)+SUMPRODUCT($I41:I$200,$M41:M$200)-$I41*SUM($M41:M$200))&lt;0,"",(I41*SUM($E$13:E41)-SUMPRODUCT($I$13:I41,$E$13:E41)+SUMPRODUCT($I41:I$200,$M41:M$200)-$I41*SUM($M41:M$200))),"")</f>
        <v>504833400</v>
      </c>
    </row>
    <row r="42" spans="1:20" x14ac:dyDescent="0.2">
      <c r="A42" s="9" t="str">
        <f t="shared" si="2"/>
        <v>LONG_UNWIND</v>
      </c>
      <c r="B42" s="13">
        <f>IFERROR(VLOOKUP($I42,Option_Chain_Raw!$E:$AD,VLOOKUP(B$12,Option_Chain_Raw!$BG$1:$BH$26,2,0),0),"")</f>
        <v>3.87</v>
      </c>
      <c r="C42" s="14">
        <f>IFERROR(VLOOKUP($I42,Option_Chain_Raw!$E:$AD,VLOOKUP(C$12,Option_Chain_Raw!$BG$1:$BH$26,2,0),0),"")</f>
        <v>0.17463459392592895</v>
      </c>
      <c r="D42" s="2">
        <f>IFERROR(VLOOKUP($I42,Option_Chain_Raw!$E:$AD,VLOOKUP(D$12,Option_Chain_Raw!$BG$1:$BH$26,2,0),0),"")</f>
        <v>-10419</v>
      </c>
      <c r="E42" s="2">
        <f>IFERROR(VLOOKUP($I42,Option_Chain_Raw!$E:$AD,VLOOKUP(E$12,Option_Chain_Raw!$BG$1:$BH$26,2,0),0),"")</f>
        <v>80367</v>
      </c>
      <c r="F42" s="12">
        <f>IFERROR(VLOOKUP($I42,Option_Chain_Raw!$E:$AD,VLOOKUP(F$12,Option_Chain_Raw!$BG$1:$BH$26,2,0),0),"")</f>
        <v>65308950</v>
      </c>
      <c r="G42" s="13">
        <f>IFERROR(VLOOKUP($I42,Option_Chain_Raw!$E:$AD,VLOOKUP(G$12,Option_Chain_Raw!$BG$1:$BH$26,2,0),0),"")</f>
        <v>-4.7000000000000011</v>
      </c>
      <c r="H42" s="13">
        <f>IFERROR(VLOOKUP($I42,Option_Chain_Raw!$E:$AD,VLOOKUP(H$12,Option_Chain_Raw!$BG$1:$BH$26,2,0),0),"")</f>
        <v>3.35</v>
      </c>
      <c r="I42" s="9">
        <v>25150</v>
      </c>
      <c r="J42" s="13">
        <f>IFERROR(VLOOKUP($I42,Option_Chain_Raw!$AE:$BD,VLOOKUP(J$12,Option_Chain_Raw!$BG$1:$BH$26,2,0),0),"")</f>
        <v>411.9</v>
      </c>
      <c r="K42" s="13">
        <f>IFERROR(VLOOKUP($I42,Option_Chain_Raw!$AE:$BD,VLOOKUP(K$12,Option_Chain_Raw!$BG$1:$BH$26,2,0),0),"")</f>
        <v>-56.200000000000045</v>
      </c>
      <c r="L42" s="12">
        <f>IFERROR(VLOOKUP($I42,Option_Chain_Raw!$AE:$BD,VLOOKUP(L$12,Option_Chain_Raw!$BG$1:$BH$26,2,0),0),"")</f>
        <v>640425</v>
      </c>
      <c r="M42" s="12">
        <f>IFERROR(VLOOKUP($I42,Option_Chain_Raw!$AE:$BD,VLOOKUP(M$12,Option_Chain_Raw!$BG$1:$BH$26,2,0),0),"")</f>
        <v>8925</v>
      </c>
      <c r="N42" s="2">
        <f>IFERROR(VLOOKUP($I42,Option_Chain_Raw!$AE:$BD,VLOOKUP(N$12,Option_Chain_Raw!$BG$1:$BH$26,2,0),0),"")</f>
        <v>-1078</v>
      </c>
      <c r="O42" s="14">
        <f>IFERROR(VLOOKUP($I42,Option_Chain_Raw!$AE:$BD,VLOOKUP(O$12,Option_Chain_Raw!$BG$1:$BH$26,2,0),0),"")</f>
        <v>0</v>
      </c>
      <c r="P42" s="13">
        <f>IFERROR(VLOOKUP($I42,Option_Chain_Raw!$AE:$BD,VLOOKUP(P$12,Option_Chain_Raw!$BG$1:$BH$26,2,0),0),"")</f>
        <v>394.72</v>
      </c>
      <c r="Q42" s="9" t="str">
        <f t="shared" si="3"/>
        <v>LONG_UNWIND</v>
      </c>
      <c r="R42" s="13">
        <f t="shared" si="4"/>
        <v>0.11105304415991639</v>
      </c>
      <c r="S42" s="13">
        <f t="shared" si="5"/>
        <v>9.80608323973973E-3</v>
      </c>
      <c r="T42" s="17">
        <f>IFERROR(IF((I42*SUM($E$13:E42)-SUMPRODUCT($I$13:I42,$E$13:E42)+SUMPRODUCT($I42:I$200,$M42:M$200)-$I42*SUM($M42:M$200))&lt;0,"",(I42*SUM($E$13:E42)-SUMPRODUCT($I$13:I42,$E$13:E42)+SUMPRODUCT($I42:I$200,$M42:M$200)-$I42*SUM($M42:M$200))),"")</f>
        <v>599955400</v>
      </c>
    </row>
    <row r="43" spans="1:20" x14ac:dyDescent="0.2">
      <c r="A43" s="9" t="str">
        <f t="shared" si="2"/>
        <v>FRESH_SHORT</v>
      </c>
      <c r="B43" s="13">
        <f>IFERROR(VLOOKUP($I43,Option_Chain_Raw!$E:$AD,VLOOKUP(B$12,Option_Chain_Raw!$BG$1:$BH$26,2,0),0),"")</f>
        <v>3.28</v>
      </c>
      <c r="C43" s="14">
        <f>IFERROR(VLOOKUP($I43,Option_Chain_Raw!$E:$AD,VLOOKUP(C$12,Option_Chain_Raw!$BG$1:$BH$26,2,0),0),"")</f>
        <v>0.18639389183957816</v>
      </c>
      <c r="D43" s="2">
        <f>IFERROR(VLOOKUP($I43,Option_Chain_Raw!$E:$AD,VLOOKUP(D$12,Option_Chain_Raw!$BG$1:$BH$26,2,0),0),"")</f>
        <v>36664</v>
      </c>
      <c r="E43" s="2">
        <f>IFERROR(VLOOKUP($I43,Option_Chain_Raw!$E:$AD,VLOOKUP(E$12,Option_Chain_Raw!$BG$1:$BH$26,2,0),0),"")</f>
        <v>199820</v>
      </c>
      <c r="F43" s="12">
        <f>IFERROR(VLOOKUP($I43,Option_Chain_Raw!$E:$AD,VLOOKUP(F$12,Option_Chain_Raw!$BG$1:$BH$26,2,0),0),"")</f>
        <v>96493125</v>
      </c>
      <c r="G43" s="13">
        <f>IFERROR(VLOOKUP($I43,Option_Chain_Raw!$E:$AD,VLOOKUP(G$12,Option_Chain_Raw!$BG$1:$BH$26,2,0),0),"")</f>
        <v>-3.7500000000000004</v>
      </c>
      <c r="H43" s="13">
        <f>IFERROR(VLOOKUP($I43,Option_Chain_Raw!$E:$AD,VLOOKUP(H$12,Option_Chain_Raw!$BG$1:$BH$26,2,0),0),"")</f>
        <v>2.9</v>
      </c>
      <c r="I43" s="9">
        <v>25200</v>
      </c>
      <c r="J43" s="13">
        <f>IFERROR(VLOOKUP($I43,Option_Chain_Raw!$AE:$BD,VLOOKUP(J$12,Option_Chain_Raw!$BG$1:$BH$26,2,0),0),"")</f>
        <v>450.65</v>
      </c>
      <c r="K43" s="13">
        <f>IFERROR(VLOOKUP($I43,Option_Chain_Raw!$AE:$BD,VLOOKUP(K$12,Option_Chain_Raw!$BG$1:$BH$26,2,0),0),"")</f>
        <v>-65.700000000000045</v>
      </c>
      <c r="L43" s="12">
        <f>IFERROR(VLOOKUP($I43,Option_Chain_Raw!$AE:$BD,VLOOKUP(L$12,Option_Chain_Raw!$BG$1:$BH$26,2,0),0),"")</f>
        <v>1591800</v>
      </c>
      <c r="M43" s="12">
        <f>IFERROR(VLOOKUP($I43,Option_Chain_Raw!$AE:$BD,VLOOKUP(M$12,Option_Chain_Raw!$BG$1:$BH$26,2,0),0),"")</f>
        <v>20417</v>
      </c>
      <c r="N43" s="2">
        <f>IFERROR(VLOOKUP($I43,Option_Chain_Raw!$AE:$BD,VLOOKUP(N$12,Option_Chain_Raw!$BG$1:$BH$26,2,0),0),"")</f>
        <v>-4148</v>
      </c>
      <c r="O43" s="14">
        <f>IFERROR(VLOOKUP($I43,Option_Chain_Raw!$AE:$BD,VLOOKUP(O$12,Option_Chain_Raw!$BG$1:$BH$26,2,0),0),"")</f>
        <v>0</v>
      </c>
      <c r="P43" s="13">
        <f>IFERROR(VLOOKUP($I43,Option_Chain_Raw!$AE:$BD,VLOOKUP(P$12,Option_Chain_Raw!$BG$1:$BH$26,2,0),0),"")</f>
        <v>434.53</v>
      </c>
      <c r="Q43" s="9" t="str">
        <f t="shared" si="3"/>
        <v>LONG_UNWIND</v>
      </c>
      <c r="R43" s="13">
        <f t="shared" si="4"/>
        <v>0.102176959263337</v>
      </c>
      <c r="S43" s="13">
        <f t="shared" si="5"/>
        <v>1.6496512057206147E-2</v>
      </c>
      <c r="T43" s="17">
        <f>IFERROR(IF((I43*SUM($E$13:E43)-SUMPRODUCT($I$13:I43,$E$13:E43)+SUMPRODUCT($I43:I$200,$M43:M$200)-$I43*SUM($M43:M$200))&lt;0,"",(I43*SUM($E$13:E43)-SUMPRODUCT($I$13:I43,$E$13:E43)+SUMPRODUCT($I43:I$200,$M43:M$200)-$I43*SUM($M43:M$200))),"")</f>
        <v>699542000</v>
      </c>
    </row>
    <row r="44" spans="1:20" x14ac:dyDescent="0.2">
      <c r="A44" s="9" t="str">
        <f t="shared" si="2"/>
        <v>LONG_UNWIND</v>
      </c>
      <c r="B44" s="13">
        <f>IFERROR(VLOOKUP($I44,Option_Chain_Raw!$E:$AD,VLOOKUP(B$12,Option_Chain_Raw!$BG$1:$BH$26,2,0),0),"")</f>
        <v>2.89</v>
      </c>
      <c r="C44" s="14">
        <f>IFERROR(VLOOKUP($I44,Option_Chain_Raw!$E:$AD,VLOOKUP(C$12,Option_Chain_Raw!$BG$1:$BH$26,2,0),0),"")</f>
        <v>0.19746473449114949</v>
      </c>
      <c r="D44" s="2">
        <f>IFERROR(VLOOKUP($I44,Option_Chain_Raw!$E:$AD,VLOOKUP(D$12,Option_Chain_Raw!$BG$1:$BH$26,2,0),0),"")</f>
        <v>-16100</v>
      </c>
      <c r="E44" s="2">
        <f>IFERROR(VLOOKUP($I44,Option_Chain_Raw!$E:$AD,VLOOKUP(E$12,Option_Chain_Raw!$BG$1:$BH$26,2,0),0),"")</f>
        <v>73315</v>
      </c>
      <c r="F44" s="12">
        <f>IFERROR(VLOOKUP($I44,Option_Chain_Raw!$E:$AD,VLOOKUP(F$12,Option_Chain_Raw!$BG$1:$BH$26,2,0),0),"")</f>
        <v>63399675</v>
      </c>
      <c r="G44" s="13">
        <f>IFERROR(VLOOKUP($I44,Option_Chain_Raw!$E:$AD,VLOOKUP(G$12,Option_Chain_Raw!$BG$1:$BH$26,2,0),0),"")</f>
        <v>-3.4000000000000004</v>
      </c>
      <c r="H44" s="13">
        <f>IFERROR(VLOOKUP($I44,Option_Chain_Raw!$E:$AD,VLOOKUP(H$12,Option_Chain_Raw!$BG$1:$BH$26,2,0),0),"")</f>
        <v>2.5</v>
      </c>
      <c r="I44" s="9">
        <v>25250</v>
      </c>
      <c r="J44" s="13">
        <f>IFERROR(VLOOKUP($I44,Option_Chain_Raw!$AE:$BD,VLOOKUP(J$12,Option_Chain_Raw!$BG$1:$BH$26,2,0),0),"")</f>
        <v>500</v>
      </c>
      <c r="K44" s="13">
        <f>IFERROR(VLOOKUP($I44,Option_Chain_Raw!$AE:$BD,VLOOKUP(K$12,Option_Chain_Raw!$BG$1:$BH$26,2,0),0),"")</f>
        <v>-62.25</v>
      </c>
      <c r="L44" s="12">
        <f>IFERROR(VLOOKUP($I44,Option_Chain_Raw!$AE:$BD,VLOOKUP(L$12,Option_Chain_Raw!$BG$1:$BH$26,2,0),0),"")</f>
        <v>189300</v>
      </c>
      <c r="M44" s="12">
        <f>IFERROR(VLOOKUP($I44,Option_Chain_Raw!$AE:$BD,VLOOKUP(M$12,Option_Chain_Raw!$BG$1:$BH$26,2,0),0),"")</f>
        <v>5016</v>
      </c>
      <c r="N44" s="2">
        <f>IFERROR(VLOOKUP($I44,Option_Chain_Raw!$AE:$BD,VLOOKUP(N$12,Option_Chain_Raw!$BG$1:$BH$26,2,0),0),"")</f>
        <v>-448</v>
      </c>
      <c r="O44" s="14">
        <f>IFERROR(VLOOKUP($I44,Option_Chain_Raw!$AE:$BD,VLOOKUP(O$12,Option_Chain_Raw!$BG$1:$BH$26,2,0),0),"")</f>
        <v>0</v>
      </c>
      <c r="P44" s="13">
        <f>IFERROR(VLOOKUP($I44,Option_Chain_Raw!$AE:$BD,VLOOKUP(P$12,Option_Chain_Raw!$BG$1:$BH$26,2,0),0),"")</f>
        <v>483.7</v>
      </c>
      <c r="Q44" s="9" t="str">
        <f t="shared" si="3"/>
        <v>LONG_UNWIND</v>
      </c>
      <c r="R44" s="13">
        <f t="shared" si="4"/>
        <v>6.8417104276069021E-2</v>
      </c>
      <c r="S44" s="13">
        <f t="shared" si="5"/>
        <v>2.9858197222619831E-3</v>
      </c>
      <c r="T44" s="17">
        <f>IFERROR(IF((I44*SUM($E$13:E44)-SUMPRODUCT($I$13:I44,$E$13:E44)+SUMPRODUCT($I44:I$200,$M44:M$200)-$I44*SUM($M44:M$200))&lt;0,"",(I44*SUM($E$13:E44)-SUMPRODUCT($I$13:I44,$E$13:E44)+SUMPRODUCT($I44:I$200,$M44:M$200)-$I44*SUM($M44:M$200))),"")</f>
        <v>810140450</v>
      </c>
    </row>
    <row r="45" spans="1:20" x14ac:dyDescent="0.2">
      <c r="A45" s="9" t="str">
        <f t="shared" si="2"/>
        <v>LONG_UNWIND</v>
      </c>
      <c r="B45" s="13">
        <f>IFERROR(VLOOKUP($I45,Option_Chain_Raw!$E:$AD,VLOOKUP(B$12,Option_Chain_Raw!$BG$1:$BH$26,2,0),0),"")</f>
        <v>2.59</v>
      </c>
      <c r="C45" s="14">
        <f>IFERROR(VLOOKUP($I45,Option_Chain_Raw!$E:$AD,VLOOKUP(C$12,Option_Chain_Raw!$BG$1:$BH$26,2,0),0),"")</f>
        <v>0.20870032860892596</v>
      </c>
      <c r="D45" s="2">
        <f>IFERROR(VLOOKUP($I45,Option_Chain_Raw!$E:$AD,VLOOKUP(D$12,Option_Chain_Raw!$BG$1:$BH$26,2,0),0),"")</f>
        <v>-3782</v>
      </c>
      <c r="E45" s="2">
        <f>IFERROR(VLOOKUP($I45,Option_Chain_Raw!$E:$AD,VLOOKUP(E$12,Option_Chain_Raw!$BG$1:$BH$26,2,0),0),"")</f>
        <v>133804</v>
      </c>
      <c r="F45" s="12">
        <f>IFERROR(VLOOKUP($I45,Option_Chain_Raw!$E:$AD,VLOOKUP(F$12,Option_Chain_Raw!$BG$1:$BH$26,2,0),0),"")</f>
        <v>81881175</v>
      </c>
      <c r="G45" s="13">
        <f>IFERROR(VLOOKUP($I45,Option_Chain_Raw!$E:$AD,VLOOKUP(G$12,Option_Chain_Raw!$BG$1:$BH$26,2,0),0),"")</f>
        <v>-2.8499999999999996</v>
      </c>
      <c r="H45" s="13">
        <f>IFERROR(VLOOKUP($I45,Option_Chain_Raw!$E:$AD,VLOOKUP(H$12,Option_Chain_Raw!$BG$1:$BH$26,2,0),0),"")</f>
        <v>2.2000000000000002</v>
      </c>
      <c r="I45" s="9">
        <v>25300</v>
      </c>
      <c r="J45" s="13">
        <f>IFERROR(VLOOKUP($I45,Option_Chain_Raw!$AE:$BD,VLOOKUP(J$12,Option_Chain_Raw!$BG$1:$BH$26,2,0),0),"")</f>
        <v>546.75</v>
      </c>
      <c r="K45" s="13">
        <f>IFERROR(VLOOKUP($I45,Option_Chain_Raw!$AE:$BD,VLOOKUP(K$12,Option_Chain_Raw!$BG$1:$BH$26,2,0),0),"")</f>
        <v>-67.049999999999955</v>
      </c>
      <c r="L45" s="12">
        <f>IFERROR(VLOOKUP($I45,Option_Chain_Raw!$AE:$BD,VLOOKUP(L$12,Option_Chain_Raw!$BG$1:$BH$26,2,0),0),"")</f>
        <v>1022625</v>
      </c>
      <c r="M45" s="12">
        <f>IFERROR(VLOOKUP($I45,Option_Chain_Raw!$AE:$BD,VLOOKUP(M$12,Option_Chain_Raw!$BG$1:$BH$26,2,0),0),"")</f>
        <v>15585</v>
      </c>
      <c r="N45" s="2">
        <f>IFERROR(VLOOKUP($I45,Option_Chain_Raw!$AE:$BD,VLOOKUP(N$12,Option_Chain_Raw!$BG$1:$BH$26,2,0),0),"")</f>
        <v>-3080</v>
      </c>
      <c r="O45" s="14">
        <f>IFERROR(VLOOKUP($I45,Option_Chain_Raw!$AE:$BD,VLOOKUP(O$12,Option_Chain_Raw!$BG$1:$BH$26,2,0),0),"")</f>
        <v>0</v>
      </c>
      <c r="P45" s="13">
        <f>IFERROR(VLOOKUP($I45,Option_Chain_Raw!$AE:$BD,VLOOKUP(P$12,Option_Chain_Raw!$BG$1:$BH$26,2,0),0),"")</f>
        <v>529.52</v>
      </c>
      <c r="Q45" s="9" t="str">
        <f t="shared" si="3"/>
        <v>LONG_UNWIND</v>
      </c>
      <c r="R45" s="13">
        <f t="shared" si="4"/>
        <v>0.11647633852500673</v>
      </c>
      <c r="S45" s="13">
        <f t="shared" si="5"/>
        <v>1.2489134407267604E-2</v>
      </c>
      <c r="T45" s="17">
        <f>IFERROR(IF((I45*SUM($E$13:E45)-SUMPRODUCT($I$13:I45,$E$13:E45)+SUMPRODUCT($I45:I$200,$M45:M$200)-$I45*SUM($M45:M$200))&lt;0,"",(I45*SUM($E$13:E45)-SUMPRODUCT($I$13:I45,$E$13:E45)+SUMPRODUCT($I45:I$200,$M45:M$200)-$I45*SUM($M45:M$200))),"")</f>
        <v>924655450</v>
      </c>
    </row>
    <row r="46" spans="1:20" x14ac:dyDescent="0.2">
      <c r="A46" s="9" t="str">
        <f t="shared" si="2"/>
        <v>LONG_UNWIND</v>
      </c>
      <c r="B46" s="13">
        <f>IFERROR(VLOOKUP($I46,Option_Chain_Raw!$E:$AD,VLOOKUP(B$12,Option_Chain_Raw!$BG$1:$BH$26,2,0),0),"")</f>
        <v>2.38</v>
      </c>
      <c r="C46" s="14">
        <f>IFERROR(VLOOKUP($I46,Option_Chain_Raw!$E:$AD,VLOOKUP(C$12,Option_Chain_Raw!$BG$1:$BH$26,2,0),0),"")</f>
        <v>0.22055545949074265</v>
      </c>
      <c r="D46" s="2">
        <f>IFERROR(VLOOKUP($I46,Option_Chain_Raw!$E:$AD,VLOOKUP(D$12,Option_Chain_Raw!$BG$1:$BH$26,2,0),0),"")</f>
        <v>-1661</v>
      </c>
      <c r="E46" s="2">
        <f>IFERROR(VLOOKUP($I46,Option_Chain_Raw!$E:$AD,VLOOKUP(E$12,Option_Chain_Raw!$BG$1:$BH$26,2,0),0),"")</f>
        <v>48030</v>
      </c>
      <c r="F46" s="12">
        <f>IFERROR(VLOOKUP($I46,Option_Chain_Raw!$E:$AD,VLOOKUP(F$12,Option_Chain_Raw!$BG$1:$BH$26,2,0),0),"")</f>
        <v>38476800</v>
      </c>
      <c r="G46" s="13">
        <f>IFERROR(VLOOKUP($I46,Option_Chain_Raw!$E:$AD,VLOOKUP(G$12,Option_Chain_Raw!$BG$1:$BH$26,2,0),0),"")</f>
        <v>-2.5</v>
      </c>
      <c r="H46" s="13">
        <f>IFERROR(VLOOKUP($I46,Option_Chain_Raw!$E:$AD,VLOOKUP(H$12,Option_Chain_Raw!$BG$1:$BH$26,2,0),0),"")</f>
        <v>2</v>
      </c>
      <c r="I46" s="9">
        <v>25350</v>
      </c>
      <c r="J46" s="13">
        <f>IFERROR(VLOOKUP($I46,Option_Chain_Raw!$AE:$BD,VLOOKUP(J$12,Option_Chain_Raw!$BG$1:$BH$26,2,0),0),"")</f>
        <v>611.20000000000005</v>
      </c>
      <c r="K46" s="13">
        <f>IFERROR(VLOOKUP($I46,Option_Chain_Raw!$AE:$BD,VLOOKUP(K$12,Option_Chain_Raw!$BG$1:$BH$26,2,0),0),"")</f>
        <v>-52.149999999999977</v>
      </c>
      <c r="L46" s="12">
        <f>IFERROR(VLOOKUP($I46,Option_Chain_Raw!$AE:$BD,VLOOKUP(L$12,Option_Chain_Raw!$BG$1:$BH$26,2,0),0),"")</f>
        <v>80175</v>
      </c>
      <c r="M46" s="12">
        <f>IFERROR(VLOOKUP($I46,Option_Chain_Raw!$AE:$BD,VLOOKUP(M$12,Option_Chain_Raw!$BG$1:$BH$26,2,0),0),"")</f>
        <v>2467</v>
      </c>
      <c r="N46" s="2">
        <f>IFERROR(VLOOKUP($I46,Option_Chain_Raw!$AE:$BD,VLOOKUP(N$12,Option_Chain_Raw!$BG$1:$BH$26,2,0),0),"")</f>
        <v>-164</v>
      </c>
      <c r="O46" s="14">
        <f>IFERROR(VLOOKUP($I46,Option_Chain_Raw!$AE:$BD,VLOOKUP(O$12,Option_Chain_Raw!$BG$1:$BH$26,2,0),0),"")</f>
        <v>0</v>
      </c>
      <c r="P46" s="13">
        <f>IFERROR(VLOOKUP($I46,Option_Chain_Raw!$AE:$BD,VLOOKUP(P$12,Option_Chain_Raw!$BG$1:$BH$26,2,0),0),"")</f>
        <v>581.32000000000005</v>
      </c>
      <c r="Q46" s="9" t="str">
        <f t="shared" si="3"/>
        <v>LONG_UNWIND</v>
      </c>
      <c r="R46" s="13">
        <f t="shared" si="4"/>
        <v>5.136373100145742E-2</v>
      </c>
      <c r="S46" s="13">
        <f t="shared" si="5"/>
        <v>2.0837231786427148E-3</v>
      </c>
      <c r="T46" s="17">
        <f>IFERROR(IF((I46*SUM($E$13:E46)-SUMPRODUCT($I$13:I46,$E$13:E46)+SUMPRODUCT($I46:I$200,$M46:M$200)-$I46*SUM($M46:M$200))&lt;0,"",(I46*SUM($E$13:E46)-SUMPRODUCT($I$13:I46,$E$13:E46)+SUMPRODUCT($I46:I$200,$M46:M$200)-$I46*SUM($M46:M$200))),"")</f>
        <v>1046639900</v>
      </c>
    </row>
    <row r="47" spans="1:20" x14ac:dyDescent="0.2">
      <c r="A47" s="9" t="str">
        <f t="shared" si="2"/>
        <v>FRESH_SHORT</v>
      </c>
      <c r="B47" s="13">
        <f>IFERROR(VLOOKUP($I47,Option_Chain_Raw!$E:$AD,VLOOKUP(B$12,Option_Chain_Raw!$BG$1:$BH$26,2,0),0),"")</f>
        <v>2.2400000000000002</v>
      </c>
      <c r="C47" s="14">
        <f>IFERROR(VLOOKUP($I47,Option_Chain_Raw!$E:$AD,VLOOKUP(C$12,Option_Chain_Raw!$BG$1:$BH$26,2,0),0),"")</f>
        <v>0.2343881334344585</v>
      </c>
      <c r="D47" s="2">
        <f>IFERROR(VLOOKUP($I47,Option_Chain_Raw!$E:$AD,VLOOKUP(D$12,Option_Chain_Raw!$BG$1:$BH$26,2,0),0),"")</f>
        <v>11321</v>
      </c>
      <c r="E47" s="2">
        <f>IFERROR(VLOOKUP($I47,Option_Chain_Raw!$E:$AD,VLOOKUP(E$12,Option_Chain_Raw!$BG$1:$BH$26,2,0),0),"")</f>
        <v>112125</v>
      </c>
      <c r="F47" s="12">
        <f>IFERROR(VLOOKUP($I47,Option_Chain_Raw!$E:$AD,VLOOKUP(F$12,Option_Chain_Raw!$BG$1:$BH$26,2,0),0),"")</f>
        <v>56902800</v>
      </c>
      <c r="G47" s="13">
        <f>IFERROR(VLOOKUP($I47,Option_Chain_Raw!$E:$AD,VLOOKUP(G$12,Option_Chain_Raw!$BG$1:$BH$26,2,0),0),"")</f>
        <v>-2.0499999999999998</v>
      </c>
      <c r="H47" s="13">
        <f>IFERROR(VLOOKUP($I47,Option_Chain_Raw!$E:$AD,VLOOKUP(H$12,Option_Chain_Raw!$BG$1:$BH$26,2,0),0),"")</f>
        <v>1.95</v>
      </c>
      <c r="I47" s="9">
        <v>25400</v>
      </c>
      <c r="J47" s="13">
        <f>IFERROR(VLOOKUP($I47,Option_Chain_Raw!$AE:$BD,VLOOKUP(J$12,Option_Chain_Raw!$BG$1:$BH$26,2,0),0),"")</f>
        <v>650.79999999999995</v>
      </c>
      <c r="K47" s="13">
        <f>IFERROR(VLOOKUP($I47,Option_Chain_Raw!$AE:$BD,VLOOKUP(K$12,Option_Chain_Raw!$BG$1:$BH$26,2,0),0),"")</f>
        <v>-61.650000000000091</v>
      </c>
      <c r="L47" s="12">
        <f>IFERROR(VLOOKUP($I47,Option_Chain_Raw!$AE:$BD,VLOOKUP(L$12,Option_Chain_Raw!$BG$1:$BH$26,2,0),0),"")</f>
        <v>289650</v>
      </c>
      <c r="M47" s="12">
        <f>IFERROR(VLOOKUP($I47,Option_Chain_Raw!$AE:$BD,VLOOKUP(M$12,Option_Chain_Raw!$BG$1:$BH$26,2,0),0),"")</f>
        <v>7475</v>
      </c>
      <c r="N47" s="2">
        <f>IFERROR(VLOOKUP($I47,Option_Chain_Raw!$AE:$BD,VLOOKUP(N$12,Option_Chain_Raw!$BG$1:$BH$26,2,0),0),"")</f>
        <v>-1283</v>
      </c>
      <c r="O47" s="14">
        <f>IFERROR(VLOOKUP($I47,Option_Chain_Raw!$AE:$BD,VLOOKUP(O$12,Option_Chain_Raw!$BG$1:$BH$26,2,0),0),"")</f>
        <v>0</v>
      </c>
      <c r="P47" s="13">
        <f>IFERROR(VLOOKUP($I47,Option_Chain_Raw!$AE:$BD,VLOOKUP(P$12,Option_Chain_Raw!$BG$1:$BH$26,2,0),0),"")</f>
        <v>634.49</v>
      </c>
      <c r="Q47" s="9" t="str">
        <f t="shared" si="3"/>
        <v>LONG_UNWIND</v>
      </c>
      <c r="R47" s="13">
        <f t="shared" si="4"/>
        <v>6.6666666666666666E-2</v>
      </c>
      <c r="S47" s="13">
        <f t="shared" si="5"/>
        <v>5.0902591788101817E-3</v>
      </c>
      <c r="T47" s="17">
        <f>IFERROR(IF((I47*SUM($E$13:E47)-SUMPRODUCT($I$13:I47,$E$13:E47)+SUMPRODUCT($I47:I$200,$M47:M$200)-$I47*SUM($M47:M$200))&lt;0,"",(I47*SUM($E$13:E47)-SUMPRODUCT($I$13:I47,$E$13:E47)+SUMPRODUCT($I47:I$200,$M47:M$200)-$I47*SUM($M47:M$200))),"")</f>
        <v>1171149200</v>
      </c>
    </row>
    <row r="48" spans="1:20" x14ac:dyDescent="0.2">
      <c r="A48" s="9" t="str">
        <f t="shared" si="2"/>
        <v>LONG_UNWIND</v>
      </c>
      <c r="B48" s="13">
        <f>IFERROR(VLOOKUP($I48,Option_Chain_Raw!$E:$AD,VLOOKUP(B$12,Option_Chain_Raw!$BG$1:$BH$26,2,0),0),"")</f>
        <v>2.1</v>
      </c>
      <c r="C48" s="14">
        <f>IFERROR(VLOOKUP($I48,Option_Chain_Raw!$E:$AD,VLOOKUP(C$12,Option_Chain_Raw!$BG$1:$BH$26,2,0),0),"")</f>
        <v>0.2451123057808007</v>
      </c>
      <c r="D48" s="2">
        <f>IFERROR(VLOOKUP($I48,Option_Chain_Raw!$E:$AD,VLOOKUP(D$12,Option_Chain_Raw!$BG$1:$BH$26,2,0),0),"")</f>
        <v>-1389</v>
      </c>
      <c r="E48" s="2">
        <f>IFERROR(VLOOKUP($I48,Option_Chain_Raw!$E:$AD,VLOOKUP(E$12,Option_Chain_Raw!$BG$1:$BH$26,2,0),0),"")</f>
        <v>41955</v>
      </c>
      <c r="F48" s="12">
        <f>IFERROR(VLOOKUP($I48,Option_Chain_Raw!$E:$AD,VLOOKUP(F$12,Option_Chain_Raw!$BG$1:$BH$26,2,0),0),"")</f>
        <v>28174575</v>
      </c>
      <c r="G48" s="13">
        <f>IFERROR(VLOOKUP($I48,Option_Chain_Raw!$E:$AD,VLOOKUP(G$12,Option_Chain_Raw!$BG$1:$BH$26,2,0),0),"")</f>
        <v>-1.9500000000000002</v>
      </c>
      <c r="H48" s="13">
        <f>IFERROR(VLOOKUP($I48,Option_Chain_Raw!$E:$AD,VLOOKUP(H$12,Option_Chain_Raw!$BG$1:$BH$26,2,0),0),"")</f>
        <v>1.75</v>
      </c>
      <c r="I48" s="9">
        <v>25450</v>
      </c>
      <c r="J48" s="13">
        <f>IFERROR(VLOOKUP($I48,Option_Chain_Raw!$AE:$BD,VLOOKUP(J$12,Option_Chain_Raw!$BG$1:$BH$26,2,0),0),"")</f>
        <v>700.7</v>
      </c>
      <c r="K48" s="13">
        <f>IFERROR(VLOOKUP($I48,Option_Chain_Raw!$AE:$BD,VLOOKUP(K$12,Option_Chain_Raw!$BG$1:$BH$26,2,0),0),"")</f>
        <v>-65.25</v>
      </c>
      <c r="L48" s="12">
        <f>IFERROR(VLOOKUP($I48,Option_Chain_Raw!$AE:$BD,VLOOKUP(L$12,Option_Chain_Raw!$BG$1:$BH$26,2,0),0),"")</f>
        <v>30150</v>
      </c>
      <c r="M48" s="12">
        <f>IFERROR(VLOOKUP($I48,Option_Chain_Raw!$AE:$BD,VLOOKUP(M$12,Option_Chain_Raw!$BG$1:$BH$26,2,0),0),"")</f>
        <v>1227</v>
      </c>
      <c r="N48" s="2">
        <f>IFERROR(VLOOKUP($I48,Option_Chain_Raw!$AE:$BD,VLOOKUP(N$12,Option_Chain_Raw!$BG$1:$BH$26,2,0),0),"")</f>
        <v>-85</v>
      </c>
      <c r="O48" s="14">
        <f>IFERROR(VLOOKUP($I48,Option_Chain_Raw!$AE:$BD,VLOOKUP(O$12,Option_Chain_Raw!$BG$1:$BH$26,2,0),0),"")</f>
        <v>0</v>
      </c>
      <c r="P48" s="13">
        <f>IFERROR(VLOOKUP($I48,Option_Chain_Raw!$AE:$BD,VLOOKUP(P$12,Option_Chain_Raw!$BG$1:$BH$26,2,0),0),"")</f>
        <v>679.4</v>
      </c>
      <c r="Q48" s="9" t="str">
        <f t="shared" si="3"/>
        <v>LONG_UNWIND</v>
      </c>
      <c r="R48" s="13">
        <f t="shared" si="4"/>
        <v>2.9245620307472291E-2</v>
      </c>
      <c r="S48" s="13">
        <f t="shared" si="5"/>
        <v>1.0701137461700842E-3</v>
      </c>
      <c r="T48" s="17">
        <f>IFERROR(IF((I48*SUM($E$13:E48)-SUMPRODUCT($I$13:I48,$E$13:E48)+SUMPRODUCT($I48:I$200,$M48:M$200)-$I48*SUM($M48:M$200))&lt;0,"",(I48*SUM($E$13:E48)-SUMPRODUCT($I$13:I48,$E$13:E48)+SUMPRODUCT($I48:I$200,$M48:M$200)-$I48*SUM($M48:M$200))),"")</f>
        <v>1301638500</v>
      </c>
    </row>
    <row r="49" spans="1:20" x14ac:dyDescent="0.2">
      <c r="A49" s="9" t="str">
        <f t="shared" si="2"/>
        <v>FRESH_SHORT</v>
      </c>
      <c r="B49" s="13">
        <f>IFERROR(VLOOKUP($I49,Option_Chain_Raw!$E:$AD,VLOOKUP(B$12,Option_Chain_Raw!$BG$1:$BH$26,2,0),0),"")</f>
        <v>2.0299999999999998</v>
      </c>
      <c r="C49" s="14">
        <f>IFERROR(VLOOKUP($I49,Option_Chain_Raw!$E:$AD,VLOOKUP(C$12,Option_Chain_Raw!$BG$1:$BH$26,2,0),0),"")</f>
        <v>0.25931319464091201</v>
      </c>
      <c r="D49" s="2">
        <f>IFERROR(VLOOKUP($I49,Option_Chain_Raw!$E:$AD,VLOOKUP(D$12,Option_Chain_Raw!$BG$1:$BH$26,2,0),0),"")</f>
        <v>14050</v>
      </c>
      <c r="E49" s="2">
        <f>IFERROR(VLOOKUP($I49,Option_Chain_Raw!$E:$AD,VLOOKUP(E$12,Option_Chain_Raw!$BG$1:$BH$26,2,0),0),"")</f>
        <v>226526</v>
      </c>
      <c r="F49" s="12">
        <f>IFERROR(VLOOKUP($I49,Option_Chain_Raw!$E:$AD,VLOOKUP(F$12,Option_Chain_Raw!$BG$1:$BH$26,2,0),0),"")</f>
        <v>86625600</v>
      </c>
      <c r="G49" s="13">
        <f>IFERROR(VLOOKUP($I49,Option_Chain_Raw!$E:$AD,VLOOKUP(G$12,Option_Chain_Raw!$BG$1:$BH$26,2,0),0),"")</f>
        <v>-1.7999999999999998</v>
      </c>
      <c r="H49" s="13">
        <f>IFERROR(VLOOKUP($I49,Option_Chain_Raw!$E:$AD,VLOOKUP(H$12,Option_Chain_Raw!$BG$1:$BH$26,2,0),0),"")</f>
        <v>1.75</v>
      </c>
      <c r="I49" s="9">
        <v>25500</v>
      </c>
      <c r="J49" s="13">
        <f>IFERROR(VLOOKUP($I49,Option_Chain_Raw!$AE:$BD,VLOOKUP(J$12,Option_Chain_Raw!$BG$1:$BH$26,2,0),0),"")</f>
        <v>754.2</v>
      </c>
      <c r="K49" s="13">
        <f>IFERROR(VLOOKUP($I49,Option_Chain_Raw!$AE:$BD,VLOOKUP(K$12,Option_Chain_Raw!$BG$1:$BH$26,2,0),0),"")</f>
        <v>-61.449999999999932</v>
      </c>
      <c r="L49" s="12">
        <f>IFERROR(VLOOKUP($I49,Option_Chain_Raw!$AE:$BD,VLOOKUP(L$12,Option_Chain_Raw!$BG$1:$BH$26,2,0),0),"")</f>
        <v>799500</v>
      </c>
      <c r="M49" s="12">
        <f>IFERROR(VLOOKUP($I49,Option_Chain_Raw!$AE:$BD,VLOOKUP(M$12,Option_Chain_Raw!$BG$1:$BH$26,2,0),0),"")</f>
        <v>21443</v>
      </c>
      <c r="N49" s="2">
        <f>IFERROR(VLOOKUP($I49,Option_Chain_Raw!$AE:$BD,VLOOKUP(N$12,Option_Chain_Raw!$BG$1:$BH$26,2,0),0),"")</f>
        <v>-1127</v>
      </c>
      <c r="O49" s="14">
        <f>IFERROR(VLOOKUP($I49,Option_Chain_Raw!$AE:$BD,VLOOKUP(O$12,Option_Chain_Raw!$BG$1:$BH$26,2,0),0),"")</f>
        <v>0</v>
      </c>
      <c r="P49" s="13">
        <f>IFERROR(VLOOKUP($I49,Option_Chain_Raw!$AE:$BD,VLOOKUP(P$12,Option_Chain_Raw!$BG$1:$BH$26,2,0),0),"")</f>
        <v>759.27</v>
      </c>
      <c r="Q49" s="9" t="str">
        <f t="shared" si="3"/>
        <v>LONG_UNWIND</v>
      </c>
      <c r="R49" s="13">
        <f t="shared" si="4"/>
        <v>9.466021560438978E-2</v>
      </c>
      <c r="S49" s="13">
        <f t="shared" si="5"/>
        <v>9.2293733030420575E-3</v>
      </c>
      <c r="T49" s="17">
        <f>IFERROR(IF((I49*SUM($E$13:E49)-SUMPRODUCT($I$13:I49,$E$13:E49)+SUMPRODUCT($I49:I$200,$M49:M$200)-$I49*SUM($M49:M$200))&lt;0,"",(I49*SUM($E$13:E49)-SUMPRODUCT($I$13:I49,$E$13:E49)+SUMPRODUCT($I49:I$200,$M49:M$200)-$I49*SUM($M49:M$200))),"")</f>
        <v>1434286900</v>
      </c>
    </row>
    <row r="50" spans="1:20" x14ac:dyDescent="0.2">
      <c r="A50" s="9" t="str">
        <f t="shared" si="2"/>
        <v>LONG_UNWIND</v>
      </c>
      <c r="B50" s="13">
        <f>IFERROR(VLOOKUP($I50,Option_Chain_Raw!$E:$AD,VLOOKUP(B$12,Option_Chain_Raw!$BG$1:$BH$26,2,0),0),"")</f>
        <v>1.86</v>
      </c>
      <c r="C50" s="14">
        <f>IFERROR(VLOOKUP($I50,Option_Chain_Raw!$E:$AD,VLOOKUP(C$12,Option_Chain_Raw!$BG$1:$BH$26,2,0),0),"")</f>
        <v>0.27009230197642931</v>
      </c>
      <c r="D50" s="2">
        <f>IFERROR(VLOOKUP($I50,Option_Chain_Raw!$E:$AD,VLOOKUP(D$12,Option_Chain_Raw!$BG$1:$BH$26,2,0),0),"")</f>
        <v>-6576</v>
      </c>
      <c r="E50" s="2">
        <f>IFERROR(VLOOKUP($I50,Option_Chain_Raw!$E:$AD,VLOOKUP(E$12,Option_Chain_Raw!$BG$1:$BH$26,2,0),0),"")</f>
        <v>36003</v>
      </c>
      <c r="F50" s="12">
        <f>IFERROR(VLOOKUP($I50,Option_Chain_Raw!$E:$AD,VLOOKUP(F$12,Option_Chain_Raw!$BG$1:$BH$26,2,0),0),"")</f>
        <v>25482750</v>
      </c>
      <c r="G50" s="13">
        <f>IFERROR(VLOOKUP($I50,Option_Chain_Raw!$E:$AD,VLOOKUP(G$12,Option_Chain_Raw!$BG$1:$BH$26,2,0),0),"")</f>
        <v>-1.5499999999999998</v>
      </c>
      <c r="H50" s="13">
        <f>IFERROR(VLOOKUP($I50,Option_Chain_Raw!$E:$AD,VLOOKUP(H$12,Option_Chain_Raw!$BG$1:$BH$26,2,0),0),"")</f>
        <v>1.6</v>
      </c>
      <c r="I50" s="9">
        <v>25550</v>
      </c>
      <c r="J50" s="13">
        <f>IFERROR(VLOOKUP($I50,Option_Chain_Raw!$AE:$BD,VLOOKUP(J$12,Option_Chain_Raw!$BG$1:$BH$26,2,0),0),"")</f>
        <v>805</v>
      </c>
      <c r="K50" s="13">
        <f>IFERROR(VLOOKUP($I50,Option_Chain_Raw!$AE:$BD,VLOOKUP(K$12,Option_Chain_Raw!$BG$1:$BH$26,2,0),0),"")</f>
        <v>-59.600000000000023</v>
      </c>
      <c r="L50" s="12">
        <f>IFERROR(VLOOKUP($I50,Option_Chain_Raw!$AE:$BD,VLOOKUP(L$12,Option_Chain_Raw!$BG$1:$BH$26,2,0),0),"")</f>
        <v>13725</v>
      </c>
      <c r="M50" s="12">
        <f>IFERROR(VLOOKUP($I50,Option_Chain_Raw!$AE:$BD,VLOOKUP(M$12,Option_Chain_Raw!$BG$1:$BH$26,2,0),0),"")</f>
        <v>769</v>
      </c>
      <c r="N50" s="2">
        <f>IFERROR(VLOOKUP($I50,Option_Chain_Raw!$AE:$BD,VLOOKUP(N$12,Option_Chain_Raw!$BG$1:$BH$26,2,0),0),"")</f>
        <v>0</v>
      </c>
      <c r="O50" s="14">
        <f>IFERROR(VLOOKUP($I50,Option_Chain_Raw!$AE:$BD,VLOOKUP(O$12,Option_Chain_Raw!$BG$1:$BH$26,2,0),0),"")</f>
        <v>0</v>
      </c>
      <c r="P50" s="13">
        <f>IFERROR(VLOOKUP($I50,Option_Chain_Raw!$AE:$BD,VLOOKUP(P$12,Option_Chain_Raw!$BG$1:$BH$26,2,0),0),"")</f>
        <v>785.76</v>
      </c>
      <c r="Q50" s="9" t="str">
        <f t="shared" si="3"/>
        <v/>
      </c>
      <c r="R50" s="13">
        <f t="shared" si="4"/>
        <v>2.1359331166847208E-2</v>
      </c>
      <c r="S50" s="13">
        <f t="shared" si="5"/>
        <v>5.3859964093357267E-4</v>
      </c>
      <c r="T50" s="17">
        <f>IFERROR(IF((I50*SUM($E$13:E50)-SUMPRODUCT($I$13:I50,$E$13:E50)+SUMPRODUCT($I50:I$200,$M50:M$200)-$I50*SUM($M50:M$200))&lt;0,"",(I50*SUM($E$13:E50)-SUMPRODUCT($I$13:I50,$E$13:E50)+SUMPRODUCT($I50:I$200,$M50:M$200)-$I50*SUM($M50:M$200))),"")</f>
        <v>1579333750</v>
      </c>
    </row>
    <row r="51" spans="1:20" x14ac:dyDescent="0.2">
      <c r="A51" s="9" t="str">
        <f t="shared" si="2"/>
        <v>LONG_UNWIND</v>
      </c>
      <c r="B51" s="13">
        <f>IFERROR(VLOOKUP($I51,Option_Chain_Raw!$E:$AD,VLOOKUP(B$12,Option_Chain_Raw!$BG$1:$BH$26,2,0),0),"")</f>
        <v>1.72</v>
      </c>
      <c r="C51" s="14">
        <f>IFERROR(VLOOKUP($I51,Option_Chain_Raw!$E:$AD,VLOOKUP(C$12,Option_Chain_Raw!$BG$1:$BH$26,2,0),0),"")</f>
        <v>0.28151244738983328</v>
      </c>
      <c r="D51" s="2">
        <f>IFERROR(VLOOKUP($I51,Option_Chain_Raw!$E:$AD,VLOOKUP(D$12,Option_Chain_Raw!$BG$1:$BH$26,2,0),0),"")</f>
        <v>-19070</v>
      </c>
      <c r="E51" s="2">
        <f>IFERROR(VLOOKUP($I51,Option_Chain_Raw!$E:$AD,VLOOKUP(E$12,Option_Chain_Raw!$BG$1:$BH$26,2,0),0),"")</f>
        <v>90644</v>
      </c>
      <c r="F51" s="12">
        <f>IFERROR(VLOOKUP($I51,Option_Chain_Raw!$E:$AD,VLOOKUP(F$12,Option_Chain_Raw!$BG$1:$BH$26,2,0),0),"")</f>
        <v>53080575</v>
      </c>
      <c r="G51" s="13">
        <f>IFERROR(VLOOKUP($I51,Option_Chain_Raw!$E:$AD,VLOOKUP(G$12,Option_Chain_Raw!$BG$1:$BH$26,2,0),0),"")</f>
        <v>-1.4500000000000002</v>
      </c>
      <c r="H51" s="13">
        <f>IFERROR(VLOOKUP($I51,Option_Chain_Raw!$E:$AD,VLOOKUP(H$12,Option_Chain_Raw!$BG$1:$BH$26,2,0),0),"")</f>
        <v>1.5</v>
      </c>
      <c r="I51" s="9">
        <v>25600</v>
      </c>
      <c r="J51" s="13">
        <f>IFERROR(VLOOKUP($I51,Option_Chain_Raw!$AE:$BD,VLOOKUP(J$12,Option_Chain_Raw!$BG$1:$BH$26,2,0),0),"")</f>
        <v>856.9</v>
      </c>
      <c r="K51" s="13">
        <f>IFERROR(VLOOKUP($I51,Option_Chain_Raw!$AE:$BD,VLOOKUP(K$12,Option_Chain_Raw!$BG$1:$BH$26,2,0),0),"")</f>
        <v>-56.350000000000023</v>
      </c>
      <c r="L51" s="12">
        <f>IFERROR(VLOOKUP($I51,Option_Chain_Raw!$AE:$BD,VLOOKUP(L$12,Option_Chain_Raw!$BG$1:$BH$26,2,0),0),"")</f>
        <v>96150</v>
      </c>
      <c r="M51" s="12">
        <f>IFERROR(VLOOKUP($I51,Option_Chain_Raw!$AE:$BD,VLOOKUP(M$12,Option_Chain_Raw!$BG$1:$BH$26,2,0),0),"")</f>
        <v>1933</v>
      </c>
      <c r="N51" s="2">
        <f>IFERROR(VLOOKUP($I51,Option_Chain_Raw!$AE:$BD,VLOOKUP(N$12,Option_Chain_Raw!$BG$1:$BH$26,2,0),0),"")</f>
        <v>-498</v>
      </c>
      <c r="O51" s="14">
        <f>IFERROR(VLOOKUP($I51,Option_Chain_Raw!$AE:$BD,VLOOKUP(O$12,Option_Chain_Raw!$BG$1:$BH$26,2,0),0),"")</f>
        <v>0</v>
      </c>
      <c r="P51" s="13">
        <f>IFERROR(VLOOKUP($I51,Option_Chain_Raw!$AE:$BD,VLOOKUP(P$12,Option_Chain_Raw!$BG$1:$BH$26,2,0),0),"")</f>
        <v>849.81</v>
      </c>
      <c r="Q51" s="9" t="str">
        <f t="shared" si="3"/>
        <v>LONG_UNWIND</v>
      </c>
      <c r="R51" s="13">
        <f t="shared" si="4"/>
        <v>2.132518423723578E-2</v>
      </c>
      <c r="S51" s="13">
        <f t="shared" si="5"/>
        <v>1.8113971071338243E-3</v>
      </c>
      <c r="T51" s="17">
        <f>IFERROR(IF((I51*SUM($E$13:E51)-SUMPRODUCT($I$13:I51,$E$13:E51)+SUMPRODUCT($I51:I$200,$M51:M$200)-$I51*SUM($M51:M$200))&lt;0,"",(I51*SUM($E$13:E51)-SUMPRODUCT($I$13:I51,$E$13:E51)+SUMPRODUCT($I51:I$200,$M51:M$200)-$I51*SUM($M51:M$200))),"")</f>
        <v>1726219200</v>
      </c>
    </row>
    <row r="52" spans="1:20" x14ac:dyDescent="0.2">
      <c r="A52" s="9" t="str">
        <f t="shared" si="2"/>
        <v>FRESH_SHORT</v>
      </c>
      <c r="B52" s="13">
        <f>IFERROR(VLOOKUP($I52,Option_Chain_Raw!$E:$AD,VLOOKUP(B$12,Option_Chain_Raw!$BG$1:$BH$26,2,0),0),"")</f>
        <v>1.74</v>
      </c>
      <c r="C52" s="14">
        <f>IFERROR(VLOOKUP($I52,Option_Chain_Raw!$E:$AD,VLOOKUP(C$12,Option_Chain_Raw!$BG$1:$BH$26,2,0),0),"")</f>
        <v>0.29763392327482535</v>
      </c>
      <c r="D52" s="2">
        <f>IFERROR(VLOOKUP($I52,Option_Chain_Raw!$E:$AD,VLOOKUP(D$12,Option_Chain_Raw!$BG$1:$BH$26,2,0),0),"")</f>
        <v>5357</v>
      </c>
      <c r="E52" s="2">
        <f>IFERROR(VLOOKUP($I52,Option_Chain_Raw!$E:$AD,VLOOKUP(E$12,Option_Chain_Raw!$BG$1:$BH$26,2,0),0),"")</f>
        <v>28016</v>
      </c>
      <c r="F52" s="12">
        <f>IFERROR(VLOOKUP($I52,Option_Chain_Raw!$E:$AD,VLOOKUP(F$12,Option_Chain_Raw!$BG$1:$BH$26,2,0),0),"")</f>
        <v>18141450</v>
      </c>
      <c r="G52" s="13">
        <f>IFERROR(VLOOKUP($I52,Option_Chain_Raw!$E:$AD,VLOOKUP(G$12,Option_Chain_Raw!$BG$1:$BH$26,2,0),0),"")</f>
        <v>-1.25</v>
      </c>
      <c r="H52" s="13">
        <f>IFERROR(VLOOKUP($I52,Option_Chain_Raw!$E:$AD,VLOOKUP(H$12,Option_Chain_Raw!$BG$1:$BH$26,2,0),0),"")</f>
        <v>1.6</v>
      </c>
      <c r="I52" s="9">
        <v>25650</v>
      </c>
      <c r="J52" s="13">
        <f>IFERROR(VLOOKUP($I52,Option_Chain_Raw!$AE:$BD,VLOOKUP(J$12,Option_Chain_Raw!$BG$1:$BH$26,2,0),0),"")</f>
        <v>905.65</v>
      </c>
      <c r="K52" s="13">
        <f>IFERROR(VLOOKUP($I52,Option_Chain_Raw!$AE:$BD,VLOOKUP(K$12,Option_Chain_Raw!$BG$1:$BH$26,2,0),0),"")</f>
        <v>-53.350000000000023</v>
      </c>
      <c r="L52" s="12">
        <f>IFERROR(VLOOKUP($I52,Option_Chain_Raw!$AE:$BD,VLOOKUP(L$12,Option_Chain_Raw!$BG$1:$BH$26,2,0),0),"")</f>
        <v>8100</v>
      </c>
      <c r="M52" s="12">
        <f>IFERROR(VLOOKUP($I52,Option_Chain_Raw!$AE:$BD,VLOOKUP(M$12,Option_Chain_Raw!$BG$1:$BH$26,2,0),0),"")</f>
        <v>311</v>
      </c>
      <c r="N52" s="2">
        <f>IFERROR(VLOOKUP($I52,Option_Chain_Raw!$AE:$BD,VLOOKUP(N$12,Option_Chain_Raw!$BG$1:$BH$26,2,0),0),"")</f>
        <v>-59</v>
      </c>
      <c r="O52" s="14">
        <f>IFERROR(VLOOKUP($I52,Option_Chain_Raw!$AE:$BD,VLOOKUP(O$12,Option_Chain_Raw!$BG$1:$BH$26,2,0),0),"")</f>
        <v>0</v>
      </c>
      <c r="P52" s="13">
        <f>IFERROR(VLOOKUP($I52,Option_Chain_Raw!$AE:$BD,VLOOKUP(P$12,Option_Chain_Raw!$BG$1:$BH$26,2,0),0),"")</f>
        <v>884.2</v>
      </c>
      <c r="Q52" s="9" t="str">
        <f t="shared" si="3"/>
        <v>LONG_UNWIND</v>
      </c>
      <c r="R52" s="13">
        <f t="shared" si="4"/>
        <v>1.1100799543118219E-2</v>
      </c>
      <c r="S52" s="13">
        <f t="shared" si="5"/>
        <v>4.464913223584664E-4</v>
      </c>
      <c r="T52" s="17">
        <f>IFERROR(IF((I52*SUM($E$13:E52)-SUMPRODUCT($I$13:I52,$E$13:E52)+SUMPRODUCT($I52:I$200,$M52:M$200)-$I52*SUM($M52:M$200))&lt;0,"",(I52*SUM($E$13:E52)-SUMPRODUCT($I$13:I52,$E$13:E52)+SUMPRODUCT($I52:I$200,$M52:M$200)-$I52*SUM($M52:M$200))),"")</f>
        <v>1877733500</v>
      </c>
    </row>
    <row r="53" spans="1:20" x14ac:dyDescent="0.2">
      <c r="A53" s="9" t="str">
        <f t="shared" si="2"/>
        <v>FRESH_SHORT</v>
      </c>
      <c r="B53" s="13">
        <f>IFERROR(VLOOKUP($I53,Option_Chain_Raw!$E:$AD,VLOOKUP(B$12,Option_Chain_Raw!$BG$1:$BH$26,2,0),0),"")</f>
        <v>1.64</v>
      </c>
      <c r="C53" s="14">
        <f>IFERROR(VLOOKUP($I53,Option_Chain_Raw!$E:$AD,VLOOKUP(C$12,Option_Chain_Raw!$BG$1:$BH$26,2,0),0),"")</f>
        <v>0.30866158469455612</v>
      </c>
      <c r="D53" s="2">
        <f>IFERROR(VLOOKUP($I53,Option_Chain_Raw!$E:$AD,VLOOKUP(D$12,Option_Chain_Raw!$BG$1:$BH$26,2,0),0),"")</f>
        <v>13313</v>
      </c>
      <c r="E53" s="2">
        <f>IFERROR(VLOOKUP($I53,Option_Chain_Raw!$E:$AD,VLOOKUP(E$12,Option_Chain_Raw!$BG$1:$BH$26,2,0),0),"")</f>
        <v>108538</v>
      </c>
      <c r="F53" s="12">
        <f>IFERROR(VLOOKUP($I53,Option_Chain_Raw!$E:$AD,VLOOKUP(F$12,Option_Chain_Raw!$BG$1:$BH$26,2,0),0),"")</f>
        <v>40564125</v>
      </c>
      <c r="G53" s="13">
        <f>IFERROR(VLOOKUP($I53,Option_Chain_Raw!$E:$AD,VLOOKUP(G$12,Option_Chain_Raw!$BG$1:$BH$26,2,0),0),"")</f>
        <v>-1.2999999999999998</v>
      </c>
      <c r="H53" s="13">
        <f>IFERROR(VLOOKUP($I53,Option_Chain_Raw!$E:$AD,VLOOKUP(H$12,Option_Chain_Raw!$BG$1:$BH$26,2,0),0),"")</f>
        <v>1.5</v>
      </c>
      <c r="I53" s="9">
        <v>25700</v>
      </c>
      <c r="J53" s="13">
        <f>IFERROR(VLOOKUP($I53,Option_Chain_Raw!$AE:$BD,VLOOKUP(J$12,Option_Chain_Raw!$BG$1:$BH$26,2,0),0),"")</f>
        <v>954.75</v>
      </c>
      <c r="K53" s="13">
        <f>IFERROR(VLOOKUP($I53,Option_Chain_Raw!$AE:$BD,VLOOKUP(K$12,Option_Chain_Raw!$BG$1:$BH$26,2,0),0),"")</f>
        <v>-56.299999999999955</v>
      </c>
      <c r="L53" s="12">
        <f>IFERROR(VLOOKUP($I53,Option_Chain_Raw!$AE:$BD,VLOOKUP(L$12,Option_Chain_Raw!$BG$1:$BH$26,2,0),0),"")</f>
        <v>73050</v>
      </c>
      <c r="M53" s="12">
        <f>IFERROR(VLOOKUP($I53,Option_Chain_Raw!$AE:$BD,VLOOKUP(M$12,Option_Chain_Raw!$BG$1:$BH$26,2,0),0),"")</f>
        <v>1318</v>
      </c>
      <c r="N53" s="2">
        <f>IFERROR(VLOOKUP($I53,Option_Chain_Raw!$AE:$BD,VLOOKUP(N$12,Option_Chain_Raw!$BG$1:$BH$26,2,0),0),"")</f>
        <v>-276</v>
      </c>
      <c r="O53" s="14">
        <f>IFERROR(VLOOKUP($I53,Option_Chain_Raw!$AE:$BD,VLOOKUP(O$12,Option_Chain_Raw!$BG$1:$BH$26,2,0),0),"")</f>
        <v>0</v>
      </c>
      <c r="P53" s="13">
        <f>IFERROR(VLOOKUP($I53,Option_Chain_Raw!$AE:$BD,VLOOKUP(P$12,Option_Chain_Raw!$BG$1:$BH$26,2,0),0),"")</f>
        <v>947.89</v>
      </c>
      <c r="Q53" s="9" t="str">
        <f t="shared" si="3"/>
        <v>LONG_UNWIND</v>
      </c>
      <c r="R53" s="13">
        <f t="shared" si="4"/>
        <v>1.2143212515432383E-2</v>
      </c>
      <c r="S53" s="13">
        <f t="shared" si="5"/>
        <v>1.8008523541429772E-3</v>
      </c>
      <c r="T53" s="17">
        <f>IFERROR(IF((I53*SUM($E$13:E53)-SUMPRODUCT($I$13:I53,$E$13:E53)+SUMPRODUCT($I53:I$200,$M53:M$200)-$I53*SUM($M53:M$200))&lt;0,"",(I53*SUM($E$13:E53)-SUMPRODUCT($I$13:I53,$E$13:E53)+SUMPRODUCT($I53:I$200,$M53:M$200)-$I53*SUM($M53:M$200))),"")</f>
        <v>2030664150</v>
      </c>
    </row>
    <row r="54" spans="1:20" x14ac:dyDescent="0.2">
      <c r="A54" s="9"/>
      <c r="B54" s="13"/>
      <c r="C54" s="14"/>
      <c r="D54" s="2"/>
      <c r="E54" s="2"/>
      <c r="F54" s="12"/>
      <c r="G54" s="13"/>
      <c r="H54" s="13"/>
      <c r="I54" s="9"/>
      <c r="J54" s="13"/>
      <c r="K54" s="13"/>
      <c r="L54" s="12"/>
      <c r="M54" s="12"/>
      <c r="N54" s="2"/>
      <c r="O54" s="14"/>
      <c r="P54" s="13"/>
      <c r="Q54" s="9"/>
      <c r="R54" s="13"/>
      <c r="S54" s="13"/>
      <c r="T54" s="17"/>
    </row>
    <row r="55" spans="1:20" x14ac:dyDescent="0.2">
      <c r="A55" s="9"/>
      <c r="B55" s="13"/>
      <c r="C55" s="14"/>
      <c r="D55" s="2"/>
      <c r="E55" s="2"/>
      <c r="F55" s="12"/>
      <c r="G55" s="13"/>
      <c r="H55" s="13"/>
      <c r="I55" s="9"/>
      <c r="J55" s="13"/>
      <c r="K55" s="13"/>
      <c r="L55" s="12"/>
      <c r="M55" s="12"/>
      <c r="N55" s="2"/>
      <c r="O55" s="14"/>
      <c r="P55" s="13"/>
      <c r="Q55" s="9"/>
      <c r="R55" s="13"/>
      <c r="S55" s="13"/>
      <c r="T55" s="17"/>
    </row>
    <row r="56" spans="1:20" x14ac:dyDescent="0.2">
      <c r="A56" s="9"/>
      <c r="B56" s="13"/>
      <c r="C56" s="14"/>
      <c r="D56" s="2"/>
      <c r="E56" s="2"/>
      <c r="F56" s="12"/>
      <c r="G56" s="13"/>
      <c r="H56" s="13"/>
      <c r="I56" s="9"/>
      <c r="J56" s="13"/>
      <c r="K56" s="13"/>
      <c r="L56" s="12"/>
      <c r="M56" s="12"/>
      <c r="N56" s="2"/>
      <c r="O56" s="14"/>
      <c r="P56" s="13"/>
      <c r="Q56" s="9"/>
      <c r="R56" s="13"/>
      <c r="S56" s="13"/>
      <c r="T56" s="17"/>
    </row>
    <row r="57" spans="1:20" x14ac:dyDescent="0.2">
      <c r="A57" s="9"/>
      <c r="B57" s="13"/>
      <c r="C57" s="14"/>
      <c r="D57" s="2"/>
      <c r="E57" s="2"/>
      <c r="F57" s="12"/>
      <c r="G57" s="13"/>
      <c r="H57" s="13"/>
      <c r="I57" s="9"/>
      <c r="J57" s="13"/>
      <c r="K57" s="13"/>
      <c r="L57" s="12"/>
      <c r="M57" s="12"/>
      <c r="N57" s="2"/>
      <c r="O57" s="14"/>
      <c r="P57" s="13"/>
      <c r="Q57" s="9"/>
      <c r="R57" s="13"/>
      <c r="S57" s="13"/>
      <c r="T57" s="17"/>
    </row>
    <row r="58" spans="1:20" x14ac:dyDescent="0.2">
      <c r="A58" s="9"/>
      <c r="B58" s="13"/>
      <c r="C58" s="14"/>
      <c r="D58" s="2"/>
      <c r="E58" s="2"/>
      <c r="F58" s="12"/>
      <c r="G58" s="13"/>
      <c r="H58" s="13"/>
      <c r="I58" s="9"/>
      <c r="J58" s="13"/>
      <c r="K58" s="13"/>
      <c r="L58" s="12"/>
      <c r="M58" s="12"/>
      <c r="N58" s="2"/>
      <c r="O58" s="14"/>
      <c r="P58" s="13"/>
      <c r="Q58" s="9"/>
      <c r="R58" s="13"/>
      <c r="S58" s="13"/>
      <c r="T58" s="17"/>
    </row>
    <row r="59" spans="1:20" x14ac:dyDescent="0.2">
      <c r="A59" s="9"/>
      <c r="B59" s="13"/>
      <c r="C59" s="14"/>
      <c r="D59" s="2"/>
      <c r="E59" s="2"/>
      <c r="F59" s="12"/>
      <c r="G59" s="13"/>
      <c r="H59" s="13"/>
      <c r="I59" s="9"/>
      <c r="J59" s="13"/>
      <c r="K59" s="13"/>
      <c r="L59" s="12"/>
      <c r="M59" s="12"/>
      <c r="N59" s="2"/>
      <c r="O59" s="14"/>
      <c r="P59" s="13"/>
      <c r="Q59" s="9"/>
      <c r="R59" s="13"/>
      <c r="S59" s="13"/>
      <c r="T59" s="17"/>
    </row>
    <row r="60" spans="1:20" x14ac:dyDescent="0.2">
      <c r="A60" s="9"/>
      <c r="B60" s="13"/>
      <c r="C60" s="14"/>
      <c r="D60" s="2"/>
      <c r="E60" s="2"/>
      <c r="F60" s="12"/>
      <c r="G60" s="13"/>
      <c r="H60" s="13"/>
      <c r="I60" s="9"/>
      <c r="J60" s="13"/>
      <c r="K60" s="13"/>
      <c r="L60" s="12"/>
      <c r="M60" s="12"/>
      <c r="N60" s="2"/>
      <c r="O60" s="14"/>
      <c r="P60" s="13"/>
      <c r="Q60" s="9"/>
      <c r="R60" s="13"/>
      <c r="S60" s="13"/>
      <c r="T60" s="17"/>
    </row>
    <row r="61" spans="1:20" x14ac:dyDescent="0.2">
      <c r="A61" s="9"/>
      <c r="B61" s="13"/>
      <c r="C61" s="14"/>
      <c r="D61" s="2"/>
      <c r="E61" s="2"/>
      <c r="F61" s="12"/>
      <c r="G61" s="13"/>
      <c r="H61" s="13"/>
      <c r="I61" s="9"/>
      <c r="J61" s="13"/>
      <c r="K61" s="13"/>
      <c r="L61" s="12"/>
      <c r="M61" s="12"/>
      <c r="N61" s="2"/>
      <c r="O61" s="14"/>
      <c r="P61" s="13"/>
      <c r="Q61" s="9"/>
      <c r="R61" s="13"/>
      <c r="S61" s="13"/>
      <c r="T61" s="17"/>
    </row>
    <row r="62" spans="1:20" x14ac:dyDescent="0.2">
      <c r="A62" s="9"/>
      <c r="B62" s="13"/>
      <c r="C62" s="14"/>
      <c r="D62" s="2"/>
      <c r="E62" s="2"/>
      <c r="F62" s="12"/>
      <c r="G62" s="13"/>
      <c r="H62" s="13"/>
      <c r="I62" s="9"/>
      <c r="J62" s="13"/>
      <c r="K62" s="13"/>
      <c r="L62" s="12"/>
      <c r="M62" s="12"/>
      <c r="N62" s="2"/>
      <c r="O62" s="14"/>
      <c r="P62" s="13"/>
      <c r="Q62" s="9"/>
      <c r="R62" s="13"/>
      <c r="S62" s="13"/>
      <c r="T62" s="17"/>
    </row>
    <row r="63" spans="1:20" x14ac:dyDescent="0.2">
      <c r="A63" s="9"/>
      <c r="B63" s="13"/>
      <c r="C63" s="14"/>
      <c r="D63" s="2"/>
      <c r="E63" s="2"/>
      <c r="F63" s="12"/>
      <c r="G63" s="13"/>
      <c r="H63" s="13"/>
      <c r="I63" s="9"/>
      <c r="J63" s="13"/>
      <c r="K63" s="13"/>
      <c r="L63" s="12"/>
      <c r="M63" s="12"/>
      <c r="N63" s="2"/>
      <c r="O63" s="14"/>
      <c r="P63" s="13"/>
      <c r="Q63" s="9"/>
      <c r="R63" s="13"/>
      <c r="S63" s="13"/>
      <c r="T63" s="17"/>
    </row>
    <row r="64" spans="1:20" x14ac:dyDescent="0.2">
      <c r="A64" s="9"/>
      <c r="B64" s="13"/>
      <c r="C64" s="14"/>
      <c r="D64" s="2"/>
      <c r="E64" s="2"/>
      <c r="F64" s="12"/>
      <c r="G64" s="13"/>
      <c r="H64" s="13"/>
      <c r="I64" s="9"/>
      <c r="J64" s="13"/>
      <c r="K64" s="13"/>
      <c r="L64" s="12"/>
      <c r="M64" s="12"/>
      <c r="N64" s="2"/>
      <c r="O64" s="14"/>
      <c r="P64" s="13"/>
      <c r="Q64" s="9"/>
      <c r="R64" s="13"/>
      <c r="S64" s="13"/>
      <c r="T64" s="17"/>
    </row>
    <row r="65" spans="1:20" x14ac:dyDescent="0.2">
      <c r="A65" s="9"/>
      <c r="B65" s="13"/>
      <c r="C65" s="14"/>
      <c r="D65" s="2"/>
      <c r="E65" s="2"/>
      <c r="F65" s="12"/>
      <c r="G65" s="13"/>
      <c r="H65" s="13"/>
      <c r="I65" s="9"/>
      <c r="J65" s="13"/>
      <c r="K65" s="13"/>
      <c r="L65" s="12"/>
      <c r="M65" s="12"/>
      <c r="N65" s="2"/>
      <c r="O65" s="14"/>
      <c r="P65" s="13"/>
      <c r="Q65" s="9"/>
      <c r="R65" s="13"/>
      <c r="S65" s="13"/>
      <c r="T65" s="17"/>
    </row>
    <row r="66" spans="1:20" x14ac:dyDescent="0.2">
      <c r="A66" s="9"/>
      <c r="B66" s="13"/>
      <c r="C66" s="14"/>
      <c r="D66" s="2"/>
      <c r="E66" s="2"/>
      <c r="F66" s="12"/>
      <c r="G66" s="13"/>
      <c r="H66" s="13"/>
      <c r="I66" s="9"/>
      <c r="J66" s="13"/>
      <c r="K66" s="13"/>
      <c r="L66" s="12"/>
      <c r="M66" s="12"/>
      <c r="N66" s="2"/>
      <c r="O66" s="14"/>
      <c r="P66" s="13"/>
      <c r="Q66" s="9"/>
      <c r="R66" s="13"/>
      <c r="S66" s="13"/>
      <c r="T66" s="17"/>
    </row>
    <row r="67" spans="1:20" x14ac:dyDescent="0.2">
      <c r="A67" s="9"/>
      <c r="B67" s="13"/>
      <c r="C67" s="14"/>
      <c r="D67" s="2"/>
      <c r="E67" s="2"/>
      <c r="F67" s="12"/>
      <c r="G67" s="13"/>
      <c r="H67" s="13"/>
      <c r="I67" s="9"/>
      <c r="J67" s="13"/>
      <c r="K67" s="13"/>
      <c r="L67" s="12"/>
      <c r="M67" s="12"/>
      <c r="N67" s="2"/>
      <c r="O67" s="14"/>
      <c r="P67" s="13"/>
      <c r="Q67" s="9"/>
      <c r="R67" s="13"/>
      <c r="S67" s="13"/>
      <c r="T67" s="17"/>
    </row>
    <row r="68" spans="1:20" x14ac:dyDescent="0.2">
      <c r="A68" s="9"/>
      <c r="B68" s="13"/>
      <c r="C68" s="14"/>
      <c r="D68" s="2"/>
      <c r="E68" s="2"/>
      <c r="F68" s="12"/>
      <c r="G68" s="13"/>
      <c r="H68" s="13"/>
      <c r="I68" s="9"/>
      <c r="J68" s="13"/>
      <c r="K68" s="13"/>
      <c r="L68" s="12"/>
      <c r="M68" s="12"/>
      <c r="N68" s="2"/>
      <c r="O68" s="14"/>
      <c r="P68" s="13"/>
      <c r="Q68" s="9"/>
      <c r="R68" s="13"/>
      <c r="S68" s="13"/>
      <c r="T68" s="17"/>
    </row>
    <row r="69" spans="1:20" x14ac:dyDescent="0.2">
      <c r="A69" s="9"/>
      <c r="B69" s="13"/>
      <c r="C69" s="14"/>
      <c r="D69" s="2"/>
      <c r="E69" s="2"/>
      <c r="F69" s="12"/>
      <c r="G69" s="13"/>
      <c r="H69" s="13"/>
      <c r="I69" s="9"/>
      <c r="J69" s="13"/>
      <c r="K69" s="13"/>
      <c r="L69" s="12"/>
      <c r="M69" s="12"/>
      <c r="N69" s="2"/>
      <c r="O69" s="14"/>
      <c r="P69" s="13"/>
      <c r="Q69" s="9"/>
      <c r="R69" s="13"/>
      <c r="S69" s="13"/>
      <c r="T69" s="17"/>
    </row>
    <row r="70" spans="1:20" x14ac:dyDescent="0.2">
      <c r="A70" s="9"/>
      <c r="B70" s="13"/>
      <c r="C70" s="14"/>
      <c r="D70" s="2"/>
      <c r="E70" s="2"/>
      <c r="F70" s="12"/>
      <c r="G70" s="13"/>
      <c r="H70" s="13"/>
      <c r="I70" s="9"/>
      <c r="J70" s="13"/>
      <c r="K70" s="13"/>
      <c r="L70" s="12"/>
      <c r="M70" s="12"/>
      <c r="N70" s="2"/>
      <c r="O70" s="14"/>
      <c r="P70" s="13"/>
      <c r="Q70" s="9"/>
      <c r="R70" s="13"/>
      <c r="S70" s="13"/>
      <c r="T70" s="17"/>
    </row>
    <row r="71" spans="1:20" x14ac:dyDescent="0.2">
      <c r="A71" s="9"/>
      <c r="B71" s="13"/>
      <c r="C71" s="14"/>
      <c r="D71" s="2"/>
      <c r="E71" s="2"/>
      <c r="F71" s="12"/>
      <c r="G71" s="13"/>
      <c r="H71" s="13"/>
      <c r="I71" s="9"/>
      <c r="J71" s="13"/>
      <c r="K71" s="13"/>
      <c r="L71" s="12"/>
      <c r="M71" s="12"/>
      <c r="N71" s="2"/>
      <c r="O71" s="14"/>
      <c r="P71" s="13"/>
      <c r="Q71" s="9"/>
      <c r="R71" s="13"/>
      <c r="S71" s="13"/>
      <c r="T71" s="17"/>
    </row>
    <row r="72" spans="1:20" x14ac:dyDescent="0.2">
      <c r="A72" s="9"/>
      <c r="B72" s="13"/>
      <c r="C72" s="14"/>
      <c r="D72" s="2"/>
      <c r="E72" s="2"/>
      <c r="F72" s="12"/>
      <c r="G72" s="13"/>
      <c r="H72" s="13"/>
      <c r="I72" s="9"/>
      <c r="J72" s="13"/>
      <c r="K72" s="13"/>
      <c r="L72" s="12"/>
      <c r="M72" s="12"/>
      <c r="N72" s="2"/>
      <c r="O72" s="14"/>
      <c r="P72" s="13"/>
      <c r="Q72" s="9"/>
      <c r="R72" s="13"/>
      <c r="S72" s="13"/>
      <c r="T72" s="17"/>
    </row>
    <row r="73" spans="1:20" x14ac:dyDescent="0.2">
      <c r="A73" s="9"/>
      <c r="B73" s="13"/>
      <c r="C73" s="14"/>
      <c r="D73" s="2"/>
      <c r="E73" s="2"/>
      <c r="F73" s="12"/>
      <c r="G73" s="13"/>
      <c r="H73" s="13"/>
      <c r="I73" s="9"/>
      <c r="J73" s="13"/>
      <c r="K73" s="13"/>
      <c r="L73" s="12"/>
      <c r="M73" s="12"/>
      <c r="N73" s="2"/>
      <c r="O73" s="14"/>
      <c r="P73" s="13"/>
      <c r="Q73" s="9"/>
      <c r="R73" s="13"/>
      <c r="S73" s="13"/>
      <c r="T73" s="17"/>
    </row>
    <row r="74" spans="1:20" x14ac:dyDescent="0.2">
      <c r="A74" s="9"/>
      <c r="B74" s="13"/>
      <c r="C74" s="14"/>
      <c r="D74" s="2"/>
      <c r="E74" s="2"/>
      <c r="F74" s="12"/>
      <c r="G74" s="13"/>
      <c r="H74" s="13"/>
      <c r="I74" s="9"/>
      <c r="J74" s="13"/>
      <c r="K74" s="13"/>
      <c r="L74" s="12"/>
      <c r="M74" s="12"/>
      <c r="N74" s="2"/>
      <c r="O74" s="14"/>
      <c r="P74" s="13"/>
      <c r="Q74" s="9"/>
      <c r="R74" s="13"/>
      <c r="S74" s="13"/>
      <c r="T74" s="17"/>
    </row>
    <row r="75" spans="1:20" x14ac:dyDescent="0.2">
      <c r="A75" s="9"/>
      <c r="B75" s="13"/>
      <c r="C75" s="14"/>
      <c r="D75" s="2"/>
      <c r="E75" s="2"/>
      <c r="F75" s="12"/>
      <c r="G75" s="13"/>
      <c r="H75" s="13"/>
      <c r="I75" s="9"/>
      <c r="J75" s="13"/>
      <c r="K75" s="13"/>
      <c r="L75" s="12"/>
      <c r="M75" s="12"/>
      <c r="N75" s="2"/>
      <c r="O75" s="14"/>
      <c r="P75" s="13"/>
      <c r="Q75" s="9"/>
      <c r="R75" s="13"/>
      <c r="S75" s="13"/>
      <c r="T75" s="17"/>
    </row>
    <row r="76" spans="1:20" x14ac:dyDescent="0.2">
      <c r="A76" s="9"/>
      <c r="B76" s="13"/>
      <c r="C76" s="14"/>
      <c r="D76" s="2"/>
      <c r="E76" s="2"/>
      <c r="F76" s="12"/>
      <c r="G76" s="13"/>
      <c r="H76" s="13"/>
      <c r="I76" s="9"/>
      <c r="J76" s="13"/>
      <c r="K76" s="13"/>
      <c r="L76" s="12"/>
      <c r="M76" s="12"/>
      <c r="N76" s="2"/>
      <c r="O76" s="14"/>
      <c r="P76" s="13"/>
      <c r="Q76" s="9"/>
      <c r="R76" s="13"/>
      <c r="S76" s="13"/>
      <c r="T76" s="17"/>
    </row>
    <row r="77" spans="1:20" x14ac:dyDescent="0.2">
      <c r="A77" s="9"/>
      <c r="B77" s="13"/>
      <c r="C77" s="14"/>
      <c r="D77" s="2"/>
      <c r="E77" s="2"/>
      <c r="F77" s="12"/>
      <c r="G77" s="13"/>
      <c r="H77" s="13"/>
      <c r="I77" s="9"/>
      <c r="J77" s="13"/>
      <c r="K77" s="13"/>
      <c r="L77" s="12"/>
      <c r="M77" s="12"/>
      <c r="N77" s="2"/>
      <c r="O77" s="14"/>
      <c r="P77" s="13"/>
      <c r="Q77" s="9"/>
      <c r="R77" s="13"/>
      <c r="S77" s="13"/>
      <c r="T77" s="17"/>
    </row>
    <row r="78" spans="1:20" x14ac:dyDescent="0.2">
      <c r="A78" s="9"/>
      <c r="B78" s="13"/>
      <c r="C78" s="14"/>
      <c r="D78" s="2"/>
      <c r="E78" s="2"/>
      <c r="F78" s="12"/>
      <c r="G78" s="13"/>
      <c r="H78" s="13"/>
      <c r="I78" s="9"/>
      <c r="J78" s="13"/>
      <c r="K78" s="13"/>
      <c r="L78" s="12"/>
      <c r="M78" s="12"/>
      <c r="N78" s="2"/>
      <c r="O78" s="14"/>
      <c r="P78" s="13"/>
      <c r="Q78" s="9"/>
      <c r="R78" s="13"/>
      <c r="S78" s="13"/>
      <c r="T78" s="17"/>
    </row>
    <row r="79" spans="1:20" x14ac:dyDescent="0.2">
      <c r="A79" s="9"/>
      <c r="B79" s="13"/>
      <c r="C79" s="14"/>
      <c r="D79" s="2"/>
      <c r="E79" s="2"/>
      <c r="F79" s="12"/>
      <c r="G79" s="13"/>
      <c r="H79" s="13"/>
      <c r="I79" s="9"/>
      <c r="J79" s="13"/>
      <c r="K79" s="13"/>
      <c r="L79" s="12"/>
      <c r="M79" s="12"/>
      <c r="N79" s="2"/>
      <c r="O79" s="14"/>
      <c r="P79" s="13"/>
      <c r="Q79" s="9"/>
      <c r="R79" s="13"/>
      <c r="S79" s="13"/>
      <c r="T79" s="17"/>
    </row>
    <row r="80" spans="1:20" x14ac:dyDescent="0.2">
      <c r="A80" s="9"/>
      <c r="B80" s="13"/>
      <c r="C80" s="14"/>
      <c r="D80" s="2"/>
      <c r="E80" s="2"/>
      <c r="F80" s="12"/>
      <c r="G80" s="13"/>
      <c r="H80" s="13"/>
      <c r="I80" s="9"/>
      <c r="J80" s="13"/>
      <c r="K80" s="13"/>
      <c r="L80" s="12"/>
      <c r="M80" s="12"/>
      <c r="N80" s="2"/>
      <c r="O80" s="14"/>
      <c r="P80" s="13"/>
      <c r="Q80" s="9"/>
      <c r="R80" s="13"/>
      <c r="S80" s="13"/>
      <c r="T80" s="17"/>
    </row>
    <row r="81" spans="1:20" x14ac:dyDescent="0.2">
      <c r="A81" s="9"/>
      <c r="B81" s="13"/>
      <c r="C81" s="14"/>
      <c r="D81" s="2"/>
      <c r="E81" s="2"/>
      <c r="F81" s="12"/>
      <c r="G81" s="13"/>
      <c r="H81" s="13"/>
      <c r="I81" s="9"/>
      <c r="J81" s="13"/>
      <c r="K81" s="13"/>
      <c r="L81" s="12"/>
      <c r="M81" s="12"/>
      <c r="N81" s="2"/>
      <c r="O81" s="14"/>
      <c r="P81" s="13"/>
      <c r="Q81" s="9"/>
      <c r="R81" s="13"/>
      <c r="S81" s="13"/>
      <c r="T81" s="17"/>
    </row>
    <row r="82" spans="1:20" x14ac:dyDescent="0.2">
      <c r="A82" s="9"/>
      <c r="B82" s="13"/>
      <c r="C82" s="14"/>
      <c r="D82" s="2"/>
      <c r="E82" s="2"/>
      <c r="F82" s="12"/>
      <c r="G82" s="13"/>
      <c r="H82" s="13"/>
      <c r="I82" s="9"/>
      <c r="J82" s="13"/>
      <c r="K82" s="13"/>
      <c r="L82" s="12"/>
      <c r="M82" s="12"/>
      <c r="N82" s="2"/>
      <c r="O82" s="14"/>
      <c r="P82" s="13"/>
      <c r="Q82" s="9"/>
      <c r="R82" s="13"/>
      <c r="S82" s="13"/>
      <c r="T82" s="17"/>
    </row>
    <row r="83" spans="1:20" x14ac:dyDescent="0.2">
      <c r="A83" s="9"/>
      <c r="B83" s="13"/>
      <c r="C83" s="14"/>
      <c r="D83" s="2"/>
      <c r="E83" s="2"/>
      <c r="F83" s="12"/>
      <c r="G83" s="13"/>
      <c r="H83" s="13"/>
      <c r="I83" s="9"/>
      <c r="J83" s="13"/>
      <c r="K83" s="13"/>
      <c r="L83" s="12"/>
      <c r="M83" s="12"/>
      <c r="N83" s="2"/>
      <c r="O83" s="14"/>
      <c r="P83" s="13"/>
      <c r="Q83" s="9"/>
      <c r="R83" s="13"/>
      <c r="S83" s="13"/>
      <c r="T83" s="17"/>
    </row>
    <row r="84" spans="1:20" x14ac:dyDescent="0.2">
      <c r="A84" s="9"/>
      <c r="B84" s="13"/>
      <c r="C84" s="14"/>
      <c r="D84" s="2"/>
      <c r="E84" s="2"/>
      <c r="F84" s="12"/>
      <c r="G84" s="13"/>
      <c r="H84" s="13"/>
      <c r="I84" s="9"/>
      <c r="J84" s="13"/>
      <c r="K84" s="13"/>
      <c r="L84" s="12"/>
      <c r="M84" s="12"/>
      <c r="N84" s="2"/>
      <c r="O84" s="14"/>
      <c r="P84" s="13"/>
      <c r="Q84" s="9"/>
      <c r="R84" s="13"/>
      <c r="S84" s="13"/>
      <c r="T84" s="17"/>
    </row>
    <row r="85" spans="1:20" x14ac:dyDescent="0.2">
      <c r="A85" s="9"/>
      <c r="B85" s="13"/>
      <c r="C85" s="14"/>
      <c r="D85" s="2"/>
      <c r="E85" s="2"/>
      <c r="F85" s="12"/>
      <c r="G85" s="13"/>
      <c r="H85" s="13"/>
      <c r="I85" s="9"/>
      <c r="J85" s="13"/>
      <c r="K85" s="13"/>
      <c r="L85" s="12"/>
      <c r="M85" s="12"/>
      <c r="N85" s="2"/>
      <c r="O85" s="14"/>
      <c r="P85" s="13"/>
      <c r="Q85" s="9"/>
      <c r="R85" s="13"/>
      <c r="S85" s="13"/>
      <c r="T85" s="17"/>
    </row>
    <row r="86" spans="1:20" x14ac:dyDescent="0.2">
      <c r="A86" s="9"/>
      <c r="B86" s="13"/>
      <c r="C86" s="14"/>
      <c r="D86" s="2"/>
      <c r="E86" s="2"/>
      <c r="F86" s="12"/>
      <c r="G86" s="13"/>
      <c r="H86" s="13"/>
      <c r="I86" s="9"/>
      <c r="J86" s="13"/>
      <c r="K86" s="13"/>
      <c r="L86" s="12"/>
      <c r="M86" s="12"/>
      <c r="N86" s="2"/>
      <c r="O86" s="14"/>
      <c r="P86" s="13"/>
      <c r="Q86" s="9"/>
      <c r="R86" s="13"/>
      <c r="S86" s="13"/>
      <c r="T86" s="17"/>
    </row>
    <row r="87" spans="1:20" x14ac:dyDescent="0.2">
      <c r="A87" s="9"/>
      <c r="B87" s="13"/>
      <c r="C87" s="14"/>
      <c r="D87" s="2"/>
      <c r="E87" s="2"/>
      <c r="F87" s="12"/>
      <c r="G87" s="13"/>
      <c r="H87" s="13"/>
      <c r="I87" s="9"/>
      <c r="J87" s="13"/>
      <c r="K87" s="13"/>
      <c r="L87" s="12"/>
      <c r="M87" s="12"/>
      <c r="N87" s="2"/>
      <c r="O87" s="14"/>
      <c r="P87" s="13"/>
      <c r="Q87" s="9"/>
      <c r="R87" s="13"/>
      <c r="S87" s="13"/>
      <c r="T87" s="17"/>
    </row>
    <row r="88" spans="1:20" x14ac:dyDescent="0.2">
      <c r="A88" s="9"/>
      <c r="B88" s="13"/>
      <c r="C88" s="14"/>
      <c r="D88" s="2"/>
      <c r="E88" s="2"/>
      <c r="F88" s="12"/>
      <c r="G88" s="13"/>
      <c r="H88" s="13"/>
      <c r="I88" s="9"/>
      <c r="J88" s="13"/>
      <c r="K88" s="13"/>
      <c r="L88" s="12"/>
      <c r="M88" s="12"/>
      <c r="N88" s="2"/>
      <c r="O88" s="14"/>
      <c r="P88" s="13"/>
      <c r="Q88" s="9"/>
      <c r="R88" s="13"/>
      <c r="S88" s="13"/>
      <c r="T88" s="17"/>
    </row>
    <row r="89" spans="1:20" x14ac:dyDescent="0.2">
      <c r="A89" s="9"/>
      <c r="B89" s="13"/>
      <c r="C89" s="14"/>
      <c r="D89" s="2"/>
      <c r="E89" s="2"/>
      <c r="F89" s="12"/>
      <c r="G89" s="13"/>
      <c r="H89" s="13"/>
      <c r="I89" s="9"/>
      <c r="J89" s="13"/>
      <c r="K89" s="13"/>
      <c r="L89" s="12"/>
      <c r="M89" s="12"/>
      <c r="N89" s="2"/>
      <c r="O89" s="14"/>
      <c r="P89" s="13"/>
      <c r="Q89" s="9"/>
      <c r="R89" s="13"/>
      <c r="S89" s="13"/>
      <c r="T89" s="17"/>
    </row>
    <row r="90" spans="1:20" x14ac:dyDescent="0.2">
      <c r="A90" s="9"/>
      <c r="B90" s="13"/>
      <c r="C90" s="14"/>
      <c r="D90" s="2"/>
      <c r="E90" s="2"/>
      <c r="F90" s="12"/>
      <c r="G90" s="13"/>
      <c r="H90" s="13"/>
      <c r="I90" s="9"/>
      <c r="J90" s="13"/>
      <c r="K90" s="13"/>
      <c r="L90" s="12"/>
      <c r="M90" s="12"/>
      <c r="N90" s="2"/>
      <c r="O90" s="14"/>
      <c r="P90" s="13"/>
      <c r="Q90" s="9"/>
      <c r="R90" s="13"/>
      <c r="S90" s="13"/>
      <c r="T90" s="17"/>
    </row>
    <row r="91" spans="1:20" x14ac:dyDescent="0.2">
      <c r="A91" s="9"/>
      <c r="B91" s="13"/>
      <c r="C91" s="14"/>
      <c r="D91" s="2"/>
      <c r="E91" s="2"/>
      <c r="F91" s="12"/>
      <c r="G91" s="13"/>
      <c r="H91" s="13"/>
      <c r="I91" s="9"/>
      <c r="J91" s="13"/>
      <c r="K91" s="13"/>
      <c r="L91" s="12"/>
      <c r="M91" s="12"/>
      <c r="N91" s="2"/>
      <c r="O91" s="14"/>
      <c r="P91" s="13"/>
      <c r="Q91" s="9"/>
      <c r="R91" s="13"/>
      <c r="S91" s="13"/>
      <c r="T91" s="17"/>
    </row>
    <row r="92" spans="1:20" x14ac:dyDescent="0.2">
      <c r="A92" s="9"/>
      <c r="B92" s="13"/>
      <c r="C92" s="14"/>
      <c r="D92" s="2"/>
      <c r="E92" s="2"/>
      <c r="F92" s="12"/>
      <c r="G92" s="13"/>
      <c r="H92" s="13"/>
      <c r="I92" s="9"/>
      <c r="J92" s="13"/>
      <c r="K92" s="13"/>
      <c r="L92" s="12"/>
      <c r="M92" s="12"/>
      <c r="N92" s="2"/>
      <c r="O92" s="14"/>
      <c r="P92" s="13"/>
      <c r="Q92" s="9"/>
      <c r="R92" s="13"/>
      <c r="S92" s="13"/>
      <c r="T92" s="17"/>
    </row>
    <row r="93" spans="1:20" x14ac:dyDescent="0.2">
      <c r="A93" s="9"/>
      <c r="B93" s="13"/>
      <c r="C93" s="14"/>
      <c r="D93" s="2"/>
      <c r="E93" s="2"/>
      <c r="F93" s="12"/>
      <c r="G93" s="13"/>
      <c r="H93" s="13"/>
      <c r="I93" s="9"/>
      <c r="J93" s="13"/>
      <c r="K93" s="13"/>
      <c r="L93" s="12"/>
      <c r="M93" s="12"/>
      <c r="N93" s="2"/>
      <c r="O93" s="14"/>
      <c r="P93" s="13"/>
      <c r="Q93" s="9"/>
      <c r="R93" s="13"/>
      <c r="S93" s="13"/>
      <c r="T93" s="17"/>
    </row>
    <row r="94" spans="1:20" x14ac:dyDescent="0.2">
      <c r="A94" s="9"/>
      <c r="B94" s="13"/>
      <c r="C94" s="14"/>
      <c r="D94" s="2"/>
      <c r="E94" s="2"/>
      <c r="F94" s="12"/>
      <c r="G94" s="13"/>
      <c r="H94" s="13"/>
      <c r="I94" s="9"/>
      <c r="J94" s="13"/>
      <c r="K94" s="13"/>
      <c r="L94" s="12"/>
      <c r="M94" s="12"/>
      <c r="N94" s="2"/>
      <c r="O94" s="14"/>
      <c r="P94" s="13"/>
      <c r="Q94" s="9"/>
      <c r="R94" s="13"/>
      <c r="S94" s="13"/>
      <c r="T94" s="17"/>
    </row>
    <row r="95" spans="1:20" x14ac:dyDescent="0.2">
      <c r="A95" s="9"/>
      <c r="B95" s="13"/>
      <c r="C95" s="14"/>
      <c r="D95" s="2"/>
      <c r="E95" s="2"/>
      <c r="F95" s="12"/>
      <c r="G95" s="13"/>
      <c r="H95" s="13"/>
      <c r="I95" s="9"/>
      <c r="J95" s="13"/>
      <c r="K95" s="13"/>
      <c r="L95" s="12"/>
      <c r="M95" s="12"/>
      <c r="N95" s="2"/>
      <c r="O95" s="14"/>
      <c r="P95" s="13"/>
      <c r="Q95" s="9"/>
      <c r="R95" s="13"/>
      <c r="S95" s="13"/>
      <c r="T95" s="17"/>
    </row>
    <row r="96" spans="1:20" x14ac:dyDescent="0.2">
      <c r="A96" s="9"/>
      <c r="B96" s="13"/>
      <c r="C96" s="14"/>
      <c r="D96" s="2"/>
      <c r="E96" s="2"/>
      <c r="F96" s="12"/>
      <c r="G96" s="13"/>
      <c r="H96" s="13"/>
      <c r="I96" s="9"/>
      <c r="J96" s="13"/>
      <c r="K96" s="13"/>
      <c r="L96" s="12"/>
      <c r="M96" s="12"/>
      <c r="N96" s="2"/>
      <c r="O96" s="14"/>
      <c r="P96" s="13"/>
      <c r="Q96" s="9"/>
      <c r="R96" s="13"/>
      <c r="S96" s="13"/>
      <c r="T96" s="17"/>
    </row>
    <row r="97" spans="1:20" x14ac:dyDescent="0.2">
      <c r="A97" s="9"/>
      <c r="B97" s="13"/>
      <c r="C97" s="14"/>
      <c r="D97" s="2"/>
      <c r="E97" s="2"/>
      <c r="F97" s="12"/>
      <c r="G97" s="13"/>
      <c r="H97" s="13"/>
      <c r="I97" s="9"/>
      <c r="J97" s="13"/>
      <c r="K97" s="13"/>
      <c r="L97" s="12"/>
      <c r="M97" s="12"/>
      <c r="N97" s="2"/>
      <c r="O97" s="14"/>
      <c r="P97" s="13"/>
      <c r="Q97" s="9"/>
      <c r="R97" s="13"/>
      <c r="S97" s="13"/>
      <c r="T97" s="17"/>
    </row>
    <row r="98" spans="1:20" x14ac:dyDescent="0.2">
      <c r="A98" s="9"/>
      <c r="B98" s="13"/>
      <c r="C98" s="14"/>
      <c r="D98" s="2"/>
      <c r="E98" s="2"/>
      <c r="F98" s="12"/>
      <c r="G98" s="13"/>
      <c r="H98" s="13"/>
      <c r="I98" s="9"/>
      <c r="J98" s="13"/>
      <c r="K98" s="13"/>
      <c r="L98" s="12"/>
      <c r="M98" s="12"/>
      <c r="N98" s="2"/>
      <c r="O98" s="14"/>
      <c r="P98" s="13"/>
      <c r="Q98" s="9"/>
      <c r="R98" s="13"/>
      <c r="S98" s="13"/>
      <c r="T98" s="17"/>
    </row>
    <row r="99" spans="1:20" x14ac:dyDescent="0.2">
      <c r="A99" s="9"/>
      <c r="B99" s="13"/>
      <c r="C99" s="14"/>
      <c r="D99" s="2"/>
      <c r="E99" s="2"/>
      <c r="F99" s="12"/>
      <c r="G99" s="13"/>
      <c r="H99" s="13"/>
      <c r="I99" s="9"/>
      <c r="J99" s="13"/>
      <c r="K99" s="13"/>
      <c r="L99" s="12"/>
      <c r="M99" s="12"/>
      <c r="N99" s="2"/>
      <c r="O99" s="14"/>
      <c r="P99" s="13"/>
      <c r="Q99" s="9"/>
      <c r="R99" s="13"/>
      <c r="S99" s="13"/>
      <c r="T99" s="17"/>
    </row>
    <row r="100" spans="1:20" x14ac:dyDescent="0.2">
      <c r="A100" s="9"/>
      <c r="B100" s="13"/>
      <c r="C100" s="14"/>
      <c r="D100" s="2"/>
      <c r="E100" s="2"/>
      <c r="F100" s="12"/>
      <c r="G100" s="13"/>
      <c r="H100" s="13"/>
      <c r="I100" s="9"/>
      <c r="J100" s="13"/>
      <c r="K100" s="13"/>
      <c r="L100" s="12"/>
      <c r="M100" s="12"/>
      <c r="N100" s="2"/>
      <c r="O100" s="14"/>
      <c r="P100" s="13"/>
      <c r="Q100" s="9"/>
      <c r="R100" s="13"/>
      <c r="S100" s="13"/>
      <c r="T100" s="17"/>
    </row>
    <row r="101" spans="1:20" x14ac:dyDescent="0.2">
      <c r="A101" s="9"/>
      <c r="B101" s="13"/>
      <c r="C101" s="14"/>
      <c r="D101" s="2"/>
      <c r="E101" s="2"/>
      <c r="F101" s="12"/>
      <c r="G101" s="13"/>
      <c r="H101" s="13"/>
      <c r="I101" s="9"/>
      <c r="J101" s="13"/>
      <c r="K101" s="13"/>
      <c r="L101" s="12"/>
      <c r="M101" s="12"/>
      <c r="N101" s="2"/>
      <c r="O101" s="14"/>
      <c r="P101" s="13"/>
      <c r="Q101" s="9"/>
      <c r="R101" s="13"/>
      <c r="S101" s="13"/>
      <c r="T101" s="17"/>
    </row>
    <row r="102" spans="1:20" x14ac:dyDescent="0.2">
      <c r="A102" s="9"/>
      <c r="B102" s="13"/>
      <c r="C102" s="14"/>
      <c r="D102" s="2"/>
      <c r="E102" s="2"/>
      <c r="F102" s="12"/>
      <c r="G102" s="13"/>
      <c r="H102" s="13"/>
      <c r="I102" s="9"/>
      <c r="J102" s="13"/>
      <c r="K102" s="13"/>
      <c r="L102" s="12"/>
      <c r="M102" s="12"/>
      <c r="N102" s="2"/>
      <c r="O102" s="14"/>
      <c r="P102" s="13"/>
      <c r="Q102" s="9"/>
      <c r="R102" s="13"/>
      <c r="S102" s="13"/>
      <c r="T102" s="17"/>
    </row>
    <row r="103" spans="1:20" x14ac:dyDescent="0.2">
      <c r="A103" s="9"/>
      <c r="B103" s="13"/>
      <c r="C103" s="14"/>
      <c r="D103" s="2"/>
      <c r="E103" s="2"/>
      <c r="F103" s="12"/>
      <c r="G103" s="13"/>
      <c r="H103" s="13"/>
      <c r="I103" s="9"/>
      <c r="J103" s="13"/>
      <c r="K103" s="13"/>
      <c r="L103" s="12"/>
      <c r="M103" s="12"/>
      <c r="N103" s="2"/>
      <c r="O103" s="14"/>
      <c r="P103" s="13"/>
      <c r="Q103" s="9"/>
      <c r="R103" s="13"/>
      <c r="S103" s="13"/>
      <c r="T103" s="17"/>
    </row>
    <row r="104" spans="1:20" x14ac:dyDescent="0.2">
      <c r="A104" s="9"/>
      <c r="B104" s="13"/>
      <c r="C104" s="14"/>
      <c r="D104" s="2"/>
      <c r="E104" s="2"/>
      <c r="F104" s="12"/>
      <c r="G104" s="13"/>
      <c r="H104" s="13"/>
      <c r="I104" s="9"/>
      <c r="J104" s="13"/>
      <c r="K104" s="13"/>
      <c r="L104" s="12"/>
      <c r="M104" s="12"/>
      <c r="N104" s="2"/>
      <c r="O104" s="14"/>
      <c r="P104" s="13"/>
      <c r="Q104" s="9"/>
      <c r="R104" s="13"/>
      <c r="S104" s="13"/>
      <c r="T104" s="17"/>
    </row>
    <row r="105" spans="1:20" x14ac:dyDescent="0.2">
      <c r="A105" s="9"/>
      <c r="B105" s="13"/>
      <c r="C105" s="14"/>
      <c r="D105" s="2"/>
      <c r="E105" s="2"/>
      <c r="F105" s="12"/>
      <c r="G105" s="13"/>
      <c r="H105" s="13"/>
      <c r="I105" s="9"/>
      <c r="J105" s="13"/>
      <c r="K105" s="13"/>
      <c r="L105" s="12"/>
      <c r="M105" s="12"/>
      <c r="N105" s="2"/>
      <c r="O105" s="14"/>
      <c r="P105" s="13"/>
      <c r="Q105" s="9"/>
      <c r="R105" s="13"/>
      <c r="S105" s="13"/>
      <c r="T105" s="17"/>
    </row>
    <row r="106" spans="1:20" x14ac:dyDescent="0.2">
      <c r="A106" s="9"/>
      <c r="B106" s="13"/>
      <c r="C106" s="14"/>
      <c r="D106" s="2"/>
      <c r="E106" s="2"/>
      <c r="F106" s="12"/>
      <c r="G106" s="13"/>
      <c r="H106" s="13"/>
      <c r="I106" s="9"/>
      <c r="J106" s="13"/>
      <c r="K106" s="13"/>
      <c r="L106" s="12"/>
      <c r="M106" s="12"/>
      <c r="N106" s="2"/>
      <c r="O106" s="14"/>
      <c r="P106" s="13"/>
      <c r="Q106" s="9"/>
      <c r="R106" s="13"/>
      <c r="S106" s="13"/>
      <c r="T106" s="17"/>
    </row>
    <row r="107" spans="1:20" x14ac:dyDescent="0.2">
      <c r="A107" s="9"/>
      <c r="B107" s="13"/>
      <c r="C107" s="14"/>
      <c r="D107" s="2"/>
      <c r="E107" s="2"/>
      <c r="F107" s="12"/>
      <c r="G107" s="13"/>
      <c r="H107" s="13"/>
      <c r="I107" s="9"/>
      <c r="J107" s="13"/>
      <c r="K107" s="13"/>
      <c r="L107" s="12"/>
      <c r="M107" s="12"/>
      <c r="N107" s="2"/>
      <c r="O107" s="14"/>
      <c r="P107" s="13"/>
      <c r="Q107" s="9"/>
      <c r="R107" s="13"/>
      <c r="S107" s="13"/>
      <c r="T107" s="17"/>
    </row>
    <row r="108" spans="1:20" x14ac:dyDescent="0.2">
      <c r="A108" s="9"/>
      <c r="B108" s="13"/>
      <c r="C108" s="14"/>
      <c r="D108" s="2"/>
      <c r="E108" s="2"/>
      <c r="F108" s="12"/>
      <c r="G108" s="13"/>
      <c r="H108" s="13"/>
      <c r="I108" s="9"/>
      <c r="J108" s="13"/>
      <c r="K108" s="13"/>
      <c r="L108" s="12"/>
      <c r="M108" s="12"/>
      <c r="N108" s="2"/>
      <c r="O108" s="14"/>
      <c r="P108" s="13"/>
      <c r="Q108" s="9"/>
      <c r="R108" s="13"/>
      <c r="S108" s="13"/>
      <c r="T108" s="17"/>
    </row>
    <row r="109" spans="1:20" x14ac:dyDescent="0.2">
      <c r="A109" s="9"/>
      <c r="B109" s="13"/>
      <c r="C109" s="14"/>
      <c r="D109" s="2"/>
      <c r="E109" s="2"/>
      <c r="F109" s="12"/>
      <c r="G109" s="13"/>
      <c r="H109" s="13"/>
      <c r="I109" s="9"/>
      <c r="J109" s="13"/>
      <c r="K109" s="13"/>
      <c r="L109" s="12"/>
      <c r="M109" s="12"/>
      <c r="N109" s="2"/>
      <c r="O109" s="14"/>
      <c r="P109" s="13"/>
      <c r="Q109" s="9"/>
      <c r="R109" s="13"/>
      <c r="S109" s="13"/>
      <c r="T109" s="17"/>
    </row>
    <row r="110" spans="1:20" x14ac:dyDescent="0.2">
      <c r="A110" s="9"/>
      <c r="B110" s="13"/>
      <c r="C110" s="14"/>
      <c r="D110" s="2"/>
      <c r="E110" s="2"/>
      <c r="F110" s="12"/>
      <c r="G110" s="13"/>
      <c r="H110" s="13"/>
      <c r="I110" s="9"/>
      <c r="J110" s="13"/>
      <c r="K110" s="13"/>
      <c r="L110" s="12"/>
      <c r="M110" s="12"/>
      <c r="N110" s="2"/>
      <c r="O110" s="14"/>
      <c r="P110" s="13"/>
      <c r="Q110" s="9"/>
      <c r="R110" s="13"/>
      <c r="S110" s="13"/>
      <c r="T110" s="17"/>
    </row>
    <row r="111" spans="1:20" x14ac:dyDescent="0.2">
      <c r="A111" s="9"/>
      <c r="B111" s="13"/>
      <c r="C111" s="14"/>
      <c r="D111" s="2"/>
      <c r="E111" s="2"/>
      <c r="F111" s="12"/>
      <c r="G111" s="13"/>
      <c r="H111" s="13"/>
      <c r="I111" s="9"/>
      <c r="J111" s="13"/>
      <c r="K111" s="13"/>
      <c r="L111" s="12"/>
      <c r="M111" s="12"/>
      <c r="N111" s="2"/>
      <c r="O111" s="14"/>
      <c r="P111" s="13"/>
      <c r="Q111" s="9"/>
      <c r="R111" s="13"/>
      <c r="S111" s="13"/>
      <c r="T111" s="17"/>
    </row>
    <row r="112" spans="1:20" x14ac:dyDescent="0.2">
      <c r="A112" s="9"/>
      <c r="B112" s="13"/>
      <c r="C112" s="14"/>
      <c r="D112" s="2"/>
      <c r="E112" s="2"/>
      <c r="F112" s="12"/>
      <c r="G112" s="13"/>
      <c r="H112" s="13"/>
      <c r="I112" s="9"/>
      <c r="J112" s="13"/>
      <c r="K112" s="13"/>
      <c r="L112" s="12"/>
      <c r="M112" s="12"/>
      <c r="N112" s="2"/>
      <c r="O112" s="14"/>
      <c r="P112" s="13"/>
      <c r="Q112" s="9"/>
      <c r="R112" s="13"/>
      <c r="S112" s="13"/>
      <c r="T112" s="17"/>
    </row>
    <row r="113" spans="1:20" x14ac:dyDescent="0.2">
      <c r="A113" s="9"/>
      <c r="B113" s="13"/>
      <c r="C113" s="14"/>
      <c r="D113" s="2"/>
      <c r="E113" s="2"/>
      <c r="F113" s="12"/>
      <c r="G113" s="13"/>
      <c r="H113" s="13"/>
      <c r="I113" s="9"/>
      <c r="J113" s="13"/>
      <c r="K113" s="13"/>
      <c r="L113" s="12"/>
      <c r="M113" s="12"/>
      <c r="N113" s="2"/>
      <c r="O113" s="14"/>
      <c r="P113" s="13"/>
      <c r="Q113" s="9"/>
      <c r="R113" s="13"/>
      <c r="S113" s="13"/>
      <c r="T113" s="17"/>
    </row>
    <row r="114" spans="1:20" x14ac:dyDescent="0.2">
      <c r="A114" s="9"/>
      <c r="B114" s="13"/>
      <c r="C114" s="14"/>
      <c r="D114" s="2"/>
      <c r="E114" s="2"/>
      <c r="F114" s="12"/>
      <c r="G114" s="13"/>
      <c r="H114" s="13"/>
      <c r="I114" s="9"/>
      <c r="J114" s="13"/>
      <c r="K114" s="13"/>
      <c r="L114" s="12"/>
      <c r="M114" s="12"/>
      <c r="N114" s="2"/>
      <c r="O114" s="14"/>
      <c r="P114" s="13"/>
      <c r="Q114" s="9"/>
      <c r="R114" s="13"/>
      <c r="S114" s="13"/>
      <c r="T114" s="17"/>
    </row>
    <row r="115" spans="1:20" x14ac:dyDescent="0.2">
      <c r="A115" s="9"/>
      <c r="B115" s="13"/>
      <c r="C115" s="14"/>
      <c r="D115" s="2"/>
      <c r="E115" s="2"/>
      <c r="F115" s="12"/>
      <c r="G115" s="13"/>
      <c r="H115" s="13"/>
      <c r="I115" s="9"/>
      <c r="J115" s="13"/>
      <c r="K115" s="13"/>
      <c r="L115" s="12"/>
      <c r="M115" s="12"/>
      <c r="N115" s="2"/>
      <c r="O115" s="14"/>
      <c r="P115" s="13"/>
      <c r="Q115" s="9"/>
      <c r="R115" s="13"/>
      <c r="S115" s="13"/>
      <c r="T115" s="17"/>
    </row>
    <row r="116" spans="1:20" x14ac:dyDescent="0.2">
      <c r="A116" s="9"/>
      <c r="B116" s="13"/>
      <c r="C116" s="14"/>
      <c r="D116" s="2"/>
      <c r="E116" s="2"/>
      <c r="F116" s="12"/>
      <c r="G116" s="13"/>
      <c r="H116" s="13"/>
      <c r="I116" s="9"/>
      <c r="J116" s="13"/>
      <c r="K116" s="13"/>
      <c r="L116" s="12"/>
      <c r="M116" s="12"/>
      <c r="N116" s="2"/>
      <c r="O116" s="14"/>
      <c r="P116" s="13"/>
      <c r="Q116" s="9"/>
      <c r="R116" s="13"/>
      <c r="S116" s="13"/>
      <c r="T116" s="17"/>
    </row>
    <row r="117" spans="1:20" x14ac:dyDescent="0.2">
      <c r="A117" s="9"/>
      <c r="B117" s="13"/>
      <c r="C117" s="14"/>
      <c r="D117" s="2"/>
      <c r="E117" s="2"/>
      <c r="F117" s="12"/>
      <c r="G117" s="13"/>
      <c r="H117" s="13"/>
      <c r="I117" s="9"/>
      <c r="J117" s="13"/>
      <c r="K117" s="13"/>
      <c r="L117" s="12"/>
      <c r="M117" s="12"/>
      <c r="N117" s="2"/>
      <c r="O117" s="14"/>
      <c r="P117" s="13"/>
      <c r="Q117" s="9"/>
      <c r="R117" s="13"/>
      <c r="S117" s="13"/>
      <c r="T117" s="17"/>
    </row>
    <row r="118" spans="1:20" x14ac:dyDescent="0.2">
      <c r="A118" s="9"/>
      <c r="B118" s="13"/>
      <c r="C118" s="14"/>
      <c r="D118" s="2"/>
      <c r="E118" s="2"/>
      <c r="F118" s="12"/>
      <c r="G118" s="13"/>
      <c r="H118" s="13"/>
      <c r="I118" s="9"/>
      <c r="J118" s="13"/>
      <c r="K118" s="13"/>
      <c r="L118" s="12"/>
      <c r="M118" s="12"/>
      <c r="N118" s="2"/>
      <c r="O118" s="14"/>
      <c r="P118" s="13"/>
      <c r="Q118" s="9"/>
      <c r="R118" s="13"/>
      <c r="S118" s="13"/>
      <c r="T118" s="17"/>
    </row>
    <row r="119" spans="1:20" x14ac:dyDescent="0.2">
      <c r="A119" s="9"/>
      <c r="B119" s="13"/>
      <c r="C119" s="14"/>
      <c r="D119" s="2"/>
      <c r="E119" s="2"/>
      <c r="F119" s="12"/>
      <c r="G119" s="13"/>
      <c r="H119" s="13"/>
      <c r="I119" s="9"/>
      <c r="J119" s="13"/>
      <c r="K119" s="13"/>
      <c r="L119" s="12"/>
      <c r="M119" s="12"/>
      <c r="N119" s="2"/>
      <c r="O119" s="14"/>
      <c r="P119" s="13"/>
      <c r="Q119" s="9"/>
      <c r="R119" s="13"/>
      <c r="S119" s="13"/>
      <c r="T119" s="17"/>
    </row>
    <row r="120" spans="1:20" x14ac:dyDescent="0.2">
      <c r="A120" s="9"/>
      <c r="B120" s="13"/>
      <c r="C120" s="14"/>
      <c r="D120" s="2"/>
      <c r="E120" s="2"/>
      <c r="F120" s="12"/>
      <c r="G120" s="13"/>
      <c r="H120" s="13"/>
      <c r="I120" s="9"/>
      <c r="J120" s="13"/>
      <c r="K120" s="13"/>
      <c r="L120" s="12"/>
      <c r="M120" s="12"/>
      <c r="N120" s="2"/>
      <c r="O120" s="14"/>
      <c r="P120" s="13"/>
      <c r="Q120" s="9"/>
      <c r="R120" s="13"/>
      <c r="S120" s="13"/>
      <c r="T120" s="17"/>
    </row>
    <row r="121" spans="1:20" x14ac:dyDescent="0.2">
      <c r="A121" s="9"/>
      <c r="B121" s="13"/>
      <c r="C121" s="14"/>
      <c r="D121" s="2"/>
      <c r="E121" s="2"/>
      <c r="F121" s="12"/>
      <c r="G121" s="13"/>
      <c r="H121" s="13"/>
      <c r="I121" s="9"/>
      <c r="J121" s="13"/>
      <c r="K121" s="13"/>
      <c r="L121" s="12"/>
      <c r="M121" s="12"/>
      <c r="N121" s="2"/>
      <c r="O121" s="14"/>
      <c r="P121" s="13"/>
      <c r="Q121" s="9"/>
      <c r="R121" s="13"/>
      <c r="S121" s="13"/>
      <c r="T121" s="17"/>
    </row>
    <row r="122" spans="1:20" x14ac:dyDescent="0.2">
      <c r="A122" s="9"/>
      <c r="B122" s="13"/>
      <c r="C122" s="14"/>
      <c r="D122" s="2"/>
      <c r="E122" s="2"/>
      <c r="F122" s="12"/>
      <c r="G122" s="13"/>
      <c r="H122" s="13"/>
      <c r="I122" s="9"/>
      <c r="J122" s="13"/>
      <c r="K122" s="13"/>
      <c r="L122" s="12"/>
      <c r="M122" s="12"/>
      <c r="N122" s="2"/>
      <c r="O122" s="14"/>
      <c r="P122" s="13"/>
      <c r="Q122" s="9"/>
      <c r="R122" s="13"/>
      <c r="S122" s="13"/>
      <c r="T122" s="17"/>
    </row>
    <row r="123" spans="1:20" x14ac:dyDescent="0.2">
      <c r="A123" s="9"/>
      <c r="B123" s="13"/>
      <c r="C123" s="14"/>
      <c r="D123" s="2"/>
      <c r="E123" s="2"/>
      <c r="F123" s="12"/>
      <c r="G123" s="13"/>
      <c r="H123" s="13"/>
      <c r="I123" s="9"/>
      <c r="J123" s="13"/>
      <c r="K123" s="13"/>
      <c r="L123" s="12"/>
      <c r="M123" s="12"/>
      <c r="N123" s="2"/>
      <c r="O123" s="14"/>
      <c r="P123" s="13"/>
      <c r="Q123" s="9"/>
      <c r="R123" s="13"/>
      <c r="S123" s="13"/>
      <c r="T123" s="17"/>
    </row>
    <row r="124" spans="1:20" x14ac:dyDescent="0.2">
      <c r="A124" s="9"/>
      <c r="B124" s="13"/>
      <c r="C124" s="14"/>
      <c r="D124" s="2"/>
      <c r="E124" s="2"/>
      <c r="F124" s="12"/>
      <c r="G124" s="13"/>
      <c r="H124" s="13"/>
      <c r="I124" s="9"/>
      <c r="J124" s="13"/>
      <c r="K124" s="13"/>
      <c r="L124" s="12"/>
      <c r="M124" s="12"/>
      <c r="N124" s="2"/>
      <c r="O124" s="14"/>
      <c r="P124" s="13"/>
      <c r="Q124" s="9"/>
      <c r="R124" s="13"/>
      <c r="S124" s="13"/>
      <c r="T124" s="17"/>
    </row>
    <row r="125" spans="1:20" x14ac:dyDescent="0.2">
      <c r="A125" s="9"/>
      <c r="B125" s="13"/>
      <c r="C125" s="14"/>
      <c r="D125" s="2"/>
      <c r="E125" s="2"/>
      <c r="F125" s="12"/>
      <c r="G125" s="13"/>
      <c r="H125" s="13"/>
      <c r="I125" s="9"/>
      <c r="J125" s="13"/>
      <c r="K125" s="13"/>
      <c r="L125" s="12"/>
      <c r="M125" s="12"/>
      <c r="N125" s="2"/>
      <c r="O125" s="14"/>
      <c r="P125" s="13"/>
      <c r="Q125" s="9"/>
      <c r="R125" s="13"/>
      <c r="S125" s="13"/>
      <c r="T125" s="17"/>
    </row>
    <row r="126" spans="1:20" x14ac:dyDescent="0.2">
      <c r="A126" s="9"/>
      <c r="B126" s="13"/>
      <c r="C126" s="14"/>
      <c r="D126" s="2"/>
      <c r="E126" s="2"/>
      <c r="F126" s="12"/>
      <c r="G126" s="13"/>
      <c r="H126" s="13"/>
      <c r="I126" s="9"/>
      <c r="J126" s="13"/>
      <c r="K126" s="13"/>
      <c r="L126" s="12"/>
      <c r="M126" s="12"/>
      <c r="N126" s="2"/>
      <c r="O126" s="14"/>
      <c r="P126" s="13"/>
      <c r="Q126" s="9"/>
      <c r="R126" s="13"/>
      <c r="S126" s="13"/>
      <c r="T126" s="17"/>
    </row>
    <row r="127" spans="1:20" x14ac:dyDescent="0.2">
      <c r="A127" s="9"/>
      <c r="B127" s="13"/>
      <c r="C127" s="14"/>
      <c r="D127" s="2"/>
      <c r="E127" s="2"/>
      <c r="F127" s="12"/>
      <c r="G127" s="13"/>
      <c r="H127" s="13"/>
      <c r="I127" s="9"/>
      <c r="J127" s="13"/>
      <c r="K127" s="13"/>
      <c r="L127" s="12"/>
      <c r="M127" s="12"/>
      <c r="N127" s="2"/>
      <c r="O127" s="14"/>
      <c r="P127" s="13"/>
      <c r="Q127" s="9"/>
      <c r="R127" s="13"/>
      <c r="S127" s="13"/>
      <c r="T127" s="17"/>
    </row>
    <row r="128" spans="1:20" x14ac:dyDescent="0.2">
      <c r="A128" s="9"/>
      <c r="B128" s="13"/>
      <c r="C128" s="14"/>
      <c r="D128" s="2"/>
      <c r="E128" s="2"/>
      <c r="F128" s="12"/>
      <c r="G128" s="13"/>
      <c r="H128" s="13"/>
      <c r="I128" s="9"/>
      <c r="J128" s="13"/>
      <c r="K128" s="13"/>
      <c r="L128" s="12"/>
      <c r="M128" s="12"/>
      <c r="N128" s="2"/>
      <c r="O128" s="14"/>
      <c r="P128" s="13"/>
      <c r="Q128" s="9"/>
      <c r="R128" s="13"/>
      <c r="S128" s="13"/>
      <c r="T128" s="17"/>
    </row>
    <row r="129" spans="1:20" x14ac:dyDescent="0.2">
      <c r="A129" s="9"/>
      <c r="B129" s="13"/>
      <c r="C129" s="14"/>
      <c r="D129" s="2"/>
      <c r="E129" s="2"/>
      <c r="F129" s="12"/>
      <c r="G129" s="13"/>
      <c r="H129" s="13"/>
      <c r="I129" s="9"/>
      <c r="J129" s="13"/>
      <c r="K129" s="13"/>
      <c r="L129" s="12"/>
      <c r="M129" s="12"/>
      <c r="N129" s="2"/>
      <c r="O129" s="14"/>
      <c r="P129" s="13"/>
      <c r="Q129" s="9"/>
      <c r="R129" s="13"/>
      <c r="S129" s="13"/>
      <c r="T129" s="17"/>
    </row>
    <row r="130" spans="1:20" x14ac:dyDescent="0.2">
      <c r="A130" s="9"/>
      <c r="B130" s="13"/>
      <c r="C130" s="14"/>
      <c r="D130" s="2"/>
      <c r="E130" s="2"/>
      <c r="F130" s="12"/>
      <c r="G130" s="13"/>
      <c r="H130" s="13"/>
      <c r="I130" s="9"/>
      <c r="J130" s="13"/>
      <c r="K130" s="13"/>
      <c r="L130" s="12"/>
      <c r="M130" s="12"/>
      <c r="N130" s="2"/>
      <c r="O130" s="14"/>
      <c r="P130" s="13"/>
      <c r="Q130" s="9"/>
      <c r="R130" s="13"/>
      <c r="S130" s="13"/>
      <c r="T130" s="17"/>
    </row>
    <row r="131" spans="1:20" x14ac:dyDescent="0.2">
      <c r="A131" s="9"/>
      <c r="B131" s="13"/>
      <c r="C131" s="14"/>
      <c r="D131" s="2"/>
      <c r="E131" s="2"/>
      <c r="F131" s="12"/>
      <c r="G131" s="13"/>
      <c r="H131" s="13"/>
      <c r="I131" s="9"/>
      <c r="J131" s="13"/>
      <c r="K131" s="13"/>
      <c r="L131" s="12"/>
      <c r="M131" s="12"/>
      <c r="N131" s="2"/>
      <c r="O131" s="14"/>
      <c r="P131" s="13"/>
      <c r="Q131" s="9"/>
      <c r="R131" s="13"/>
      <c r="S131" s="13"/>
      <c r="T131" s="17"/>
    </row>
    <row r="132" spans="1:20" x14ac:dyDescent="0.2">
      <c r="A132" s="9"/>
      <c r="B132" s="13"/>
      <c r="C132" s="14"/>
      <c r="D132" s="2"/>
      <c r="E132" s="2"/>
      <c r="F132" s="12"/>
      <c r="G132" s="13"/>
      <c r="H132" s="13"/>
      <c r="I132" s="9"/>
      <c r="J132" s="13"/>
      <c r="K132" s="13"/>
      <c r="L132" s="12"/>
      <c r="M132" s="12"/>
      <c r="N132" s="2"/>
      <c r="O132" s="14"/>
      <c r="P132" s="13"/>
      <c r="Q132" s="9"/>
      <c r="R132" s="13"/>
      <c r="S132" s="13"/>
      <c r="T132" s="17"/>
    </row>
    <row r="133" spans="1:20" x14ac:dyDescent="0.2">
      <c r="A133" s="9"/>
      <c r="B133" s="13"/>
      <c r="C133" s="14"/>
      <c r="D133" s="2"/>
      <c r="E133" s="2"/>
      <c r="F133" s="12"/>
      <c r="G133" s="13"/>
      <c r="H133" s="13"/>
      <c r="I133" s="9"/>
      <c r="J133" s="13"/>
      <c r="K133" s="13"/>
      <c r="L133" s="12"/>
      <c r="M133" s="12"/>
      <c r="N133" s="2"/>
      <c r="O133" s="14"/>
      <c r="P133" s="13"/>
      <c r="Q133" s="9"/>
      <c r="R133" s="13"/>
      <c r="S133" s="13"/>
      <c r="T133" s="17"/>
    </row>
    <row r="134" spans="1:20" x14ac:dyDescent="0.2">
      <c r="A134" s="9"/>
      <c r="B134" s="13"/>
      <c r="C134" s="14"/>
      <c r="D134" s="2"/>
      <c r="E134" s="2"/>
      <c r="F134" s="12"/>
      <c r="G134" s="13"/>
      <c r="H134" s="13"/>
      <c r="I134" s="9"/>
      <c r="J134" s="13"/>
      <c r="K134" s="13"/>
      <c r="L134" s="12"/>
      <c r="M134" s="12"/>
      <c r="N134" s="2"/>
      <c r="O134" s="14"/>
      <c r="P134" s="13"/>
      <c r="Q134" s="9"/>
      <c r="R134" s="13"/>
      <c r="S134" s="13"/>
      <c r="T134" s="17"/>
    </row>
    <row r="135" spans="1:20" x14ac:dyDescent="0.2">
      <c r="A135" s="9"/>
      <c r="B135" s="13"/>
      <c r="C135" s="14"/>
      <c r="D135" s="2"/>
      <c r="E135" s="2"/>
      <c r="F135" s="12"/>
      <c r="G135" s="13"/>
      <c r="H135" s="13"/>
      <c r="I135" s="9"/>
      <c r="J135" s="13"/>
      <c r="K135" s="13"/>
      <c r="L135" s="12"/>
      <c r="M135" s="12"/>
      <c r="N135" s="2"/>
      <c r="O135" s="14"/>
      <c r="P135" s="13"/>
      <c r="Q135" s="9"/>
      <c r="R135" s="13"/>
      <c r="S135" s="13"/>
      <c r="T135" s="17"/>
    </row>
    <row r="136" spans="1:20" x14ac:dyDescent="0.2">
      <c r="A136" s="9"/>
      <c r="B136" s="13"/>
      <c r="C136" s="14"/>
      <c r="D136" s="2"/>
      <c r="E136" s="2"/>
      <c r="F136" s="12"/>
      <c r="G136" s="13"/>
      <c r="H136" s="13"/>
      <c r="I136" s="9"/>
      <c r="J136" s="13"/>
      <c r="K136" s="13"/>
      <c r="L136" s="12"/>
      <c r="M136" s="12"/>
      <c r="N136" s="2"/>
      <c r="O136" s="14"/>
      <c r="P136" s="13"/>
      <c r="Q136" s="9"/>
      <c r="R136" s="13"/>
      <c r="S136" s="13"/>
      <c r="T136" s="17"/>
    </row>
    <row r="137" spans="1:20" x14ac:dyDescent="0.2">
      <c r="A137" s="9"/>
      <c r="B137" s="13"/>
      <c r="C137" s="14"/>
      <c r="D137" s="2"/>
      <c r="E137" s="2"/>
      <c r="F137" s="12"/>
      <c r="G137" s="13"/>
      <c r="H137" s="13"/>
      <c r="I137" s="9"/>
      <c r="J137" s="13"/>
      <c r="K137" s="13"/>
      <c r="L137" s="12"/>
      <c r="M137" s="12"/>
      <c r="N137" s="2"/>
      <c r="O137" s="14"/>
      <c r="P137" s="13"/>
      <c r="Q137" s="9"/>
      <c r="R137" s="13"/>
      <c r="S137" s="13"/>
      <c r="T137" s="17"/>
    </row>
    <row r="138" spans="1:20" x14ac:dyDescent="0.2">
      <c r="A138" s="9"/>
      <c r="B138" s="13"/>
      <c r="C138" s="14"/>
      <c r="D138" s="2"/>
      <c r="E138" s="2"/>
      <c r="F138" s="12"/>
      <c r="G138" s="13"/>
      <c r="H138" s="13"/>
      <c r="I138" s="9"/>
      <c r="J138" s="13"/>
      <c r="K138" s="13"/>
      <c r="L138" s="12"/>
      <c r="M138" s="12"/>
      <c r="N138" s="2"/>
      <c r="O138" s="14"/>
      <c r="P138" s="13"/>
      <c r="Q138" s="9"/>
      <c r="R138" s="13"/>
      <c r="S138" s="13"/>
      <c r="T138" s="17"/>
    </row>
    <row r="139" spans="1:20" x14ac:dyDescent="0.2">
      <c r="A139" s="9"/>
      <c r="B139" s="13"/>
      <c r="C139" s="14"/>
      <c r="D139" s="2"/>
      <c r="E139" s="2"/>
      <c r="F139" s="12"/>
      <c r="G139" s="13"/>
      <c r="H139" s="13"/>
      <c r="I139" s="9"/>
      <c r="J139" s="13"/>
      <c r="K139" s="13"/>
      <c r="L139" s="12"/>
      <c r="M139" s="12"/>
      <c r="N139" s="2"/>
      <c r="O139" s="14"/>
      <c r="P139" s="13"/>
      <c r="Q139" s="9"/>
      <c r="R139" s="13"/>
      <c r="S139" s="13"/>
      <c r="T139" s="17"/>
    </row>
    <row r="140" spans="1:20" x14ac:dyDescent="0.2">
      <c r="A140" s="9"/>
      <c r="B140" s="13"/>
      <c r="C140" s="14"/>
      <c r="D140" s="2"/>
      <c r="E140" s="2"/>
      <c r="F140" s="12"/>
      <c r="G140" s="13"/>
      <c r="H140" s="13"/>
      <c r="I140" s="9"/>
      <c r="J140" s="13"/>
      <c r="K140" s="13"/>
      <c r="L140" s="12"/>
      <c r="M140" s="12"/>
      <c r="N140" s="2"/>
      <c r="O140" s="14"/>
      <c r="P140" s="13"/>
      <c r="Q140" s="9"/>
      <c r="R140" s="13"/>
      <c r="S140" s="13"/>
      <c r="T140" s="17"/>
    </row>
    <row r="141" spans="1:20" x14ac:dyDescent="0.2">
      <c r="A141" s="9"/>
      <c r="B141" s="13"/>
      <c r="C141" s="14"/>
      <c r="D141" s="2"/>
      <c r="E141" s="2"/>
      <c r="F141" s="12"/>
      <c r="G141" s="13"/>
      <c r="H141" s="13"/>
      <c r="I141" s="9"/>
      <c r="J141" s="13"/>
      <c r="K141" s="13"/>
      <c r="L141" s="12"/>
      <c r="M141" s="12"/>
      <c r="N141" s="2"/>
      <c r="O141" s="14"/>
      <c r="P141" s="13"/>
      <c r="Q141" s="9"/>
      <c r="R141" s="13"/>
      <c r="S141" s="13"/>
      <c r="T141" s="17"/>
    </row>
    <row r="142" spans="1:20" x14ac:dyDescent="0.2">
      <c r="A142" s="9"/>
      <c r="B142" s="13"/>
      <c r="C142" s="14"/>
      <c r="D142" s="2"/>
      <c r="E142" s="2"/>
      <c r="F142" s="12"/>
      <c r="G142" s="13"/>
      <c r="H142" s="13"/>
      <c r="I142" s="9"/>
      <c r="J142" s="13"/>
      <c r="K142" s="13"/>
      <c r="L142" s="12"/>
      <c r="M142" s="12"/>
      <c r="N142" s="2"/>
      <c r="O142" s="14"/>
      <c r="P142" s="13"/>
      <c r="Q142" s="9"/>
      <c r="R142" s="13"/>
      <c r="S142" s="13"/>
      <c r="T142" s="17"/>
    </row>
    <row r="143" spans="1:20" x14ac:dyDescent="0.2">
      <c r="A143" s="9"/>
      <c r="B143" s="13"/>
      <c r="C143" s="14"/>
      <c r="D143" s="2"/>
      <c r="E143" s="2"/>
      <c r="F143" s="12"/>
      <c r="G143" s="13"/>
      <c r="H143" s="13"/>
      <c r="I143" s="9"/>
      <c r="J143" s="13"/>
      <c r="K143" s="13"/>
      <c r="L143" s="12"/>
      <c r="M143" s="12"/>
      <c r="N143" s="2"/>
      <c r="O143" s="14"/>
      <c r="P143" s="13"/>
      <c r="Q143" s="9"/>
      <c r="R143" s="13"/>
      <c r="S143" s="13"/>
      <c r="T143" s="17"/>
    </row>
    <row r="144" spans="1:20" x14ac:dyDescent="0.2">
      <c r="A144" s="9"/>
      <c r="B144" s="13"/>
      <c r="C144" s="14"/>
      <c r="D144" s="2"/>
      <c r="E144" s="2"/>
      <c r="F144" s="12"/>
      <c r="G144" s="13"/>
      <c r="H144" s="13"/>
      <c r="I144" s="9"/>
      <c r="J144" s="13"/>
      <c r="K144" s="13"/>
      <c r="L144" s="12"/>
      <c r="M144" s="12"/>
      <c r="N144" s="2"/>
      <c r="O144" s="14"/>
      <c r="P144" s="13"/>
      <c r="Q144" s="9"/>
      <c r="R144" s="13"/>
      <c r="S144" s="13"/>
      <c r="T144" s="17"/>
    </row>
    <row r="145" spans="1:20" x14ac:dyDescent="0.2">
      <c r="A145" s="9"/>
      <c r="B145" s="13"/>
      <c r="C145" s="14"/>
      <c r="D145" s="2"/>
      <c r="E145" s="2"/>
      <c r="F145" s="12"/>
      <c r="G145" s="13"/>
      <c r="H145" s="13"/>
      <c r="I145" s="9"/>
      <c r="J145" s="13"/>
      <c r="K145" s="13"/>
      <c r="L145" s="12"/>
      <c r="M145" s="12"/>
      <c r="N145" s="2"/>
      <c r="O145" s="14"/>
      <c r="P145" s="13"/>
      <c r="Q145" s="9"/>
      <c r="R145" s="13"/>
      <c r="S145" s="13"/>
      <c r="T145" s="17"/>
    </row>
    <row r="146" spans="1:20" x14ac:dyDescent="0.2">
      <c r="A146" s="9"/>
      <c r="B146" s="13"/>
      <c r="C146" s="14"/>
      <c r="D146" s="2"/>
      <c r="E146" s="2"/>
      <c r="F146" s="12"/>
      <c r="G146" s="13"/>
      <c r="H146" s="13"/>
      <c r="I146" s="9"/>
      <c r="J146" s="13"/>
      <c r="K146" s="13"/>
      <c r="L146" s="12"/>
      <c r="M146" s="12"/>
      <c r="N146" s="2"/>
      <c r="O146" s="14"/>
      <c r="P146" s="13"/>
      <c r="Q146" s="9"/>
      <c r="R146" s="13"/>
      <c r="S146" s="13"/>
      <c r="T146" s="17"/>
    </row>
    <row r="147" spans="1:20" x14ac:dyDescent="0.2">
      <c r="A147" s="9"/>
      <c r="B147" s="13"/>
      <c r="C147" s="14"/>
      <c r="D147" s="2"/>
      <c r="E147" s="2"/>
      <c r="F147" s="12"/>
      <c r="G147" s="13"/>
      <c r="H147" s="13"/>
      <c r="I147" s="9"/>
      <c r="J147" s="13"/>
      <c r="K147" s="13"/>
      <c r="L147" s="12"/>
      <c r="M147" s="12"/>
      <c r="N147" s="2"/>
      <c r="O147" s="14"/>
      <c r="P147" s="13"/>
      <c r="Q147" s="9"/>
      <c r="R147" s="13"/>
      <c r="S147" s="13"/>
      <c r="T147" s="17"/>
    </row>
    <row r="148" spans="1:20" x14ac:dyDescent="0.2">
      <c r="A148" s="9"/>
      <c r="B148" s="13"/>
      <c r="C148" s="14"/>
      <c r="D148" s="2"/>
      <c r="E148" s="2"/>
      <c r="F148" s="12"/>
      <c r="G148" s="13"/>
      <c r="H148" s="13"/>
      <c r="I148" s="9"/>
      <c r="J148" s="13"/>
      <c r="K148" s="13"/>
      <c r="L148" s="12"/>
      <c r="M148" s="12"/>
      <c r="N148" s="2"/>
      <c r="O148" s="14"/>
      <c r="P148" s="13"/>
      <c r="Q148" s="9"/>
      <c r="R148" s="13"/>
      <c r="S148" s="13"/>
      <c r="T148" s="17"/>
    </row>
    <row r="149" spans="1:20" x14ac:dyDescent="0.2">
      <c r="A149" s="9"/>
      <c r="B149" s="13"/>
      <c r="C149" s="14"/>
      <c r="D149" s="2"/>
      <c r="E149" s="2"/>
      <c r="F149" s="12"/>
      <c r="G149" s="13"/>
      <c r="H149" s="13"/>
      <c r="I149" s="9"/>
      <c r="J149" s="13"/>
      <c r="K149" s="13"/>
      <c r="L149" s="12"/>
      <c r="M149" s="12"/>
      <c r="N149" s="2"/>
      <c r="O149" s="14"/>
      <c r="P149" s="13"/>
      <c r="Q149" s="9"/>
      <c r="R149" s="13"/>
      <c r="S149" s="13"/>
      <c r="T149" s="17"/>
    </row>
    <row r="150" spans="1:20" x14ac:dyDescent="0.2">
      <c r="A150" s="9"/>
      <c r="B150" s="13"/>
      <c r="C150" s="14"/>
      <c r="D150" s="2"/>
      <c r="E150" s="2"/>
      <c r="F150" s="12"/>
      <c r="G150" s="13"/>
      <c r="H150" s="13"/>
      <c r="I150" s="9"/>
      <c r="J150" s="13"/>
      <c r="K150" s="13"/>
      <c r="L150" s="12"/>
      <c r="M150" s="12"/>
      <c r="N150" s="2"/>
      <c r="O150" s="14"/>
      <c r="P150" s="13"/>
      <c r="Q150" s="9"/>
      <c r="R150" s="13"/>
      <c r="S150" s="13"/>
      <c r="T150" s="17"/>
    </row>
    <row r="151" spans="1:20" x14ac:dyDescent="0.2">
      <c r="A151" s="9"/>
      <c r="B151" s="13"/>
      <c r="C151" s="14"/>
      <c r="D151" s="2"/>
      <c r="E151" s="2"/>
      <c r="F151" s="12"/>
      <c r="G151" s="13"/>
      <c r="H151" s="13"/>
      <c r="I151" s="9"/>
      <c r="J151" s="13"/>
      <c r="K151" s="13"/>
      <c r="L151" s="12"/>
      <c r="M151" s="12"/>
      <c r="N151" s="2"/>
      <c r="O151" s="14"/>
      <c r="P151" s="13"/>
      <c r="Q151" s="9"/>
      <c r="R151" s="13"/>
      <c r="S151" s="13"/>
      <c r="T151" s="17"/>
    </row>
    <row r="152" spans="1:20" x14ac:dyDescent="0.2">
      <c r="A152" s="9"/>
      <c r="B152" s="13"/>
      <c r="C152" s="14"/>
      <c r="D152" s="2"/>
      <c r="E152" s="2"/>
      <c r="F152" s="12"/>
      <c r="G152" s="13"/>
      <c r="H152" s="13"/>
      <c r="I152" s="9"/>
      <c r="J152" s="13"/>
      <c r="K152" s="13"/>
      <c r="L152" s="12"/>
      <c r="M152" s="12"/>
      <c r="N152" s="2"/>
      <c r="O152" s="14"/>
      <c r="P152" s="13"/>
      <c r="Q152" s="9"/>
      <c r="R152" s="13"/>
      <c r="S152" s="13"/>
      <c r="T152" s="17"/>
    </row>
    <row r="153" spans="1:20" x14ac:dyDescent="0.2">
      <c r="A153" s="9"/>
      <c r="B153" s="13"/>
      <c r="C153" s="14"/>
      <c r="D153" s="2"/>
      <c r="E153" s="2"/>
      <c r="F153" s="12"/>
      <c r="G153" s="13"/>
      <c r="H153" s="13"/>
      <c r="I153" s="9"/>
      <c r="J153" s="13"/>
      <c r="K153" s="13"/>
      <c r="L153" s="12"/>
      <c r="M153" s="12"/>
      <c r="N153" s="2"/>
      <c r="O153" s="14"/>
      <c r="P153" s="13"/>
      <c r="Q153" s="9"/>
      <c r="R153" s="13"/>
      <c r="S153" s="13"/>
      <c r="T153" s="17"/>
    </row>
    <row r="154" spans="1:20" x14ac:dyDescent="0.2">
      <c r="A154" s="9"/>
      <c r="B154" s="13"/>
      <c r="C154" s="14"/>
      <c r="D154" s="2"/>
      <c r="E154" s="2"/>
      <c r="F154" s="12"/>
      <c r="G154" s="13"/>
      <c r="H154" s="13"/>
      <c r="I154" s="9"/>
      <c r="J154" s="13"/>
      <c r="K154" s="13"/>
      <c r="L154" s="12"/>
      <c r="M154" s="12"/>
      <c r="N154" s="2"/>
      <c r="O154" s="14"/>
      <c r="P154" s="13"/>
      <c r="Q154" s="9"/>
      <c r="R154" s="13"/>
      <c r="S154" s="13"/>
      <c r="T154" s="17"/>
    </row>
    <row r="155" spans="1:20" x14ac:dyDescent="0.2">
      <c r="A155" s="9"/>
      <c r="B155" s="13"/>
      <c r="C155" s="14"/>
      <c r="D155" s="2"/>
      <c r="E155" s="2"/>
      <c r="F155" s="12"/>
      <c r="G155" s="13"/>
      <c r="H155" s="13"/>
      <c r="I155" s="9"/>
      <c r="J155" s="13"/>
      <c r="K155" s="13"/>
      <c r="L155" s="12"/>
      <c r="M155" s="12"/>
      <c r="N155" s="2"/>
      <c r="O155" s="14"/>
      <c r="P155" s="13"/>
      <c r="Q155" s="9"/>
      <c r="R155" s="13"/>
      <c r="S155" s="13"/>
      <c r="T155" s="17"/>
    </row>
    <row r="156" spans="1:20" x14ac:dyDescent="0.2">
      <c r="A156" s="9"/>
      <c r="B156" s="13"/>
      <c r="C156" s="14"/>
      <c r="D156" s="2"/>
      <c r="E156" s="2"/>
      <c r="F156" s="12"/>
      <c r="G156" s="13"/>
      <c r="H156" s="13"/>
      <c r="I156" s="9"/>
      <c r="J156" s="13"/>
      <c r="K156" s="13"/>
      <c r="L156" s="12"/>
      <c r="M156" s="12"/>
      <c r="N156" s="2"/>
      <c r="O156" s="14"/>
      <c r="P156" s="13"/>
      <c r="Q156" s="9"/>
      <c r="R156" s="13"/>
      <c r="S156" s="13"/>
      <c r="T156" s="17"/>
    </row>
    <row r="157" spans="1:20" x14ac:dyDescent="0.2">
      <c r="A157" s="9"/>
      <c r="B157" s="13"/>
      <c r="C157" s="14"/>
      <c r="D157" s="2"/>
      <c r="E157" s="2"/>
      <c r="F157" s="12"/>
      <c r="G157" s="13"/>
      <c r="H157" s="13"/>
      <c r="I157" s="9"/>
      <c r="J157" s="13"/>
      <c r="K157" s="13"/>
      <c r="L157" s="12"/>
      <c r="M157" s="12"/>
      <c r="N157" s="2"/>
      <c r="O157" s="14"/>
      <c r="P157" s="13"/>
      <c r="Q157" s="9"/>
      <c r="R157" s="13"/>
      <c r="S157" s="13"/>
      <c r="T157" s="17"/>
    </row>
    <row r="158" spans="1:20" x14ac:dyDescent="0.2">
      <c r="A158" s="9"/>
      <c r="B158" s="13"/>
      <c r="C158" s="14"/>
      <c r="D158" s="2"/>
      <c r="E158" s="2"/>
      <c r="F158" s="12"/>
      <c r="G158" s="13"/>
      <c r="H158" s="13"/>
      <c r="I158" s="9"/>
      <c r="J158" s="13"/>
      <c r="K158" s="13"/>
      <c r="L158" s="12"/>
      <c r="M158" s="12"/>
      <c r="N158" s="2"/>
      <c r="O158" s="14"/>
      <c r="P158" s="13"/>
      <c r="Q158" s="9"/>
      <c r="R158" s="13"/>
      <c r="S158" s="13"/>
      <c r="T158" s="17"/>
    </row>
    <row r="159" spans="1:20" x14ac:dyDescent="0.2">
      <c r="A159" s="9"/>
      <c r="B159" s="13"/>
      <c r="C159" s="14"/>
      <c r="D159" s="2"/>
      <c r="E159" s="2"/>
      <c r="F159" s="12"/>
      <c r="G159" s="13"/>
      <c r="H159" s="13"/>
      <c r="I159" s="9"/>
      <c r="J159" s="13"/>
      <c r="K159" s="13"/>
      <c r="L159" s="12"/>
      <c r="M159" s="12"/>
      <c r="N159" s="2"/>
      <c r="O159" s="14"/>
      <c r="P159" s="13"/>
      <c r="Q159" s="9"/>
      <c r="R159" s="13"/>
      <c r="S159" s="13"/>
      <c r="T159" s="17"/>
    </row>
    <row r="160" spans="1:20" x14ac:dyDescent="0.2">
      <c r="A160" s="9"/>
      <c r="B160" s="13"/>
      <c r="C160" s="14"/>
      <c r="D160" s="2"/>
      <c r="E160" s="2"/>
      <c r="F160" s="12"/>
      <c r="G160" s="13"/>
      <c r="H160" s="13"/>
      <c r="I160" s="9"/>
      <c r="J160" s="13"/>
      <c r="K160" s="13"/>
      <c r="L160" s="12"/>
      <c r="M160" s="12"/>
      <c r="N160" s="2"/>
      <c r="O160" s="14"/>
      <c r="P160" s="13"/>
      <c r="Q160" s="9"/>
      <c r="R160" s="13"/>
      <c r="S160" s="13"/>
      <c r="T160" s="17"/>
    </row>
    <row r="161" spans="1:20" x14ac:dyDescent="0.2">
      <c r="A161" s="9"/>
      <c r="B161" s="13"/>
      <c r="C161" s="14"/>
      <c r="D161" s="2"/>
      <c r="E161" s="2"/>
      <c r="F161" s="12"/>
      <c r="G161" s="13"/>
      <c r="H161" s="13"/>
      <c r="I161" s="9"/>
      <c r="J161" s="13"/>
      <c r="K161" s="13"/>
      <c r="L161" s="12"/>
      <c r="M161" s="12"/>
      <c r="N161" s="2"/>
      <c r="O161" s="14"/>
      <c r="P161" s="13"/>
      <c r="Q161" s="9"/>
      <c r="R161" s="13"/>
      <c r="S161" s="13"/>
      <c r="T161" s="17"/>
    </row>
    <row r="162" spans="1:20" x14ac:dyDescent="0.2">
      <c r="A162" s="9"/>
      <c r="B162" s="13"/>
      <c r="C162" s="14"/>
      <c r="D162" s="2"/>
      <c r="E162" s="2"/>
      <c r="F162" s="12"/>
      <c r="G162" s="13"/>
      <c r="H162" s="13"/>
      <c r="I162" s="9"/>
      <c r="J162" s="13"/>
      <c r="K162" s="13"/>
      <c r="L162" s="12"/>
      <c r="M162" s="12"/>
      <c r="N162" s="2"/>
      <c r="O162" s="14"/>
      <c r="P162" s="13"/>
      <c r="Q162" s="9"/>
      <c r="R162" s="13"/>
      <c r="S162" s="13"/>
      <c r="T162" s="17"/>
    </row>
    <row r="163" spans="1:20" x14ac:dyDescent="0.2">
      <c r="A163" s="9"/>
      <c r="B163" s="13"/>
      <c r="C163" s="14"/>
      <c r="D163" s="2"/>
      <c r="E163" s="2"/>
      <c r="F163" s="12"/>
      <c r="G163" s="13"/>
      <c r="H163" s="13"/>
      <c r="I163" s="9"/>
      <c r="J163" s="13"/>
      <c r="K163" s="13"/>
      <c r="L163" s="12"/>
      <c r="M163" s="12"/>
      <c r="N163" s="2"/>
      <c r="O163" s="14"/>
      <c r="P163" s="13"/>
      <c r="Q163" s="9"/>
      <c r="R163" s="13"/>
      <c r="S163" s="13"/>
      <c r="T163" s="17"/>
    </row>
    <row r="164" spans="1:20" x14ac:dyDescent="0.2">
      <c r="A164" s="9"/>
      <c r="B164" s="13"/>
      <c r="C164" s="14"/>
      <c r="D164" s="2"/>
      <c r="E164" s="2"/>
      <c r="F164" s="12"/>
      <c r="G164" s="13"/>
      <c r="H164" s="13"/>
      <c r="I164" s="9"/>
      <c r="J164" s="13"/>
      <c r="K164" s="13"/>
      <c r="L164" s="12"/>
      <c r="M164" s="12"/>
      <c r="N164" s="2"/>
      <c r="O164" s="14"/>
      <c r="P164" s="13"/>
      <c r="Q164" s="9"/>
      <c r="R164" s="13"/>
      <c r="S164" s="13"/>
      <c r="T164" s="17"/>
    </row>
    <row r="165" spans="1:20" x14ac:dyDescent="0.2">
      <c r="A165" s="9"/>
      <c r="B165" s="13"/>
      <c r="C165" s="14"/>
      <c r="D165" s="2"/>
      <c r="E165" s="2"/>
      <c r="F165" s="12"/>
      <c r="G165" s="13"/>
      <c r="H165" s="13"/>
      <c r="I165" s="9"/>
      <c r="J165" s="13"/>
      <c r="K165" s="13"/>
      <c r="L165" s="12"/>
      <c r="M165" s="12"/>
      <c r="N165" s="2"/>
      <c r="O165" s="14"/>
      <c r="P165" s="13"/>
      <c r="Q165" s="9"/>
      <c r="R165" s="13"/>
      <c r="S165" s="13"/>
      <c r="T165" s="17"/>
    </row>
    <row r="166" spans="1:20" x14ac:dyDescent="0.2">
      <c r="A166" s="9"/>
      <c r="B166" s="13"/>
      <c r="C166" s="14"/>
      <c r="D166" s="2"/>
      <c r="E166" s="2"/>
      <c r="F166" s="12"/>
      <c r="G166" s="13"/>
      <c r="H166" s="13"/>
      <c r="I166" s="9"/>
      <c r="J166" s="13"/>
      <c r="K166" s="13"/>
      <c r="L166" s="12"/>
      <c r="M166" s="12"/>
      <c r="N166" s="2"/>
      <c r="O166" s="14"/>
      <c r="P166" s="13"/>
      <c r="Q166" s="9"/>
      <c r="R166" s="13"/>
      <c r="S166" s="13"/>
      <c r="T166" s="17"/>
    </row>
    <row r="167" spans="1:20" x14ac:dyDescent="0.2">
      <c r="A167" s="9"/>
      <c r="B167" s="13"/>
      <c r="C167" s="14"/>
      <c r="D167" s="2"/>
      <c r="E167" s="2"/>
      <c r="F167" s="12"/>
      <c r="G167" s="13"/>
      <c r="H167" s="13"/>
      <c r="I167" s="9"/>
      <c r="J167" s="13"/>
      <c r="K167" s="13"/>
      <c r="L167" s="12"/>
      <c r="M167" s="12"/>
      <c r="N167" s="2"/>
      <c r="O167" s="14"/>
      <c r="P167" s="13"/>
      <c r="Q167" s="9"/>
      <c r="R167" s="13"/>
      <c r="S167" s="13"/>
      <c r="T167" s="17"/>
    </row>
    <row r="168" spans="1:20" x14ac:dyDescent="0.2">
      <c r="A168" s="9"/>
      <c r="B168" s="13"/>
      <c r="C168" s="14"/>
      <c r="D168" s="2"/>
      <c r="E168" s="2"/>
      <c r="F168" s="12"/>
      <c r="G168" s="13"/>
      <c r="H168" s="13"/>
      <c r="I168" s="9"/>
      <c r="J168" s="13"/>
      <c r="K168" s="13"/>
      <c r="L168" s="12"/>
      <c r="M168" s="12"/>
      <c r="N168" s="2"/>
      <c r="O168" s="14"/>
      <c r="P168" s="13"/>
      <c r="Q168" s="9"/>
      <c r="R168" s="13"/>
      <c r="S168" s="13"/>
      <c r="T168" s="17"/>
    </row>
    <row r="169" spans="1:20" x14ac:dyDescent="0.2">
      <c r="A169" s="9"/>
      <c r="B169" s="13"/>
      <c r="C169" s="14"/>
      <c r="D169" s="2"/>
      <c r="E169" s="2"/>
      <c r="F169" s="12"/>
      <c r="G169" s="13"/>
      <c r="H169" s="13"/>
      <c r="I169" s="9"/>
      <c r="J169" s="13"/>
      <c r="K169" s="13"/>
      <c r="L169" s="12"/>
      <c r="M169" s="12"/>
      <c r="N169" s="2"/>
      <c r="O169" s="14"/>
      <c r="P169" s="13"/>
      <c r="Q169" s="9"/>
      <c r="R169" s="13"/>
      <c r="S169" s="13"/>
      <c r="T169" s="17"/>
    </row>
    <row r="170" spans="1:20" x14ac:dyDescent="0.2">
      <c r="A170" s="9"/>
      <c r="B170" s="13"/>
      <c r="C170" s="14"/>
      <c r="D170" s="2"/>
      <c r="E170" s="2"/>
      <c r="F170" s="12"/>
      <c r="G170" s="13"/>
      <c r="H170" s="13"/>
      <c r="I170" s="9"/>
      <c r="J170" s="13"/>
      <c r="K170" s="13"/>
      <c r="L170" s="12"/>
      <c r="M170" s="12"/>
      <c r="N170" s="2"/>
      <c r="O170" s="14"/>
      <c r="P170" s="13"/>
      <c r="Q170" s="9"/>
      <c r="R170" s="13"/>
      <c r="S170" s="13"/>
      <c r="T170" s="17"/>
    </row>
    <row r="171" spans="1:20" x14ac:dyDescent="0.2">
      <c r="A171" s="9"/>
      <c r="B171" s="13"/>
      <c r="C171" s="14"/>
      <c r="D171" s="2"/>
      <c r="E171" s="2"/>
      <c r="F171" s="12"/>
      <c r="G171" s="13"/>
      <c r="H171" s="13"/>
      <c r="I171" s="9"/>
      <c r="J171" s="13"/>
      <c r="K171" s="13"/>
      <c r="L171" s="12"/>
      <c r="M171" s="12"/>
      <c r="N171" s="2"/>
      <c r="O171" s="14"/>
      <c r="P171" s="13"/>
      <c r="Q171" s="9"/>
      <c r="R171" s="13"/>
      <c r="S171" s="13"/>
      <c r="T171" s="17"/>
    </row>
    <row r="172" spans="1:20" x14ac:dyDescent="0.2">
      <c r="A172" s="9"/>
      <c r="B172" s="13"/>
      <c r="C172" s="14"/>
      <c r="D172" s="2"/>
      <c r="E172" s="2"/>
      <c r="F172" s="12"/>
      <c r="G172" s="13"/>
      <c r="H172" s="13"/>
      <c r="I172" s="9"/>
      <c r="J172" s="13"/>
      <c r="K172" s="13"/>
      <c r="L172" s="12"/>
      <c r="M172" s="12"/>
      <c r="N172" s="2"/>
      <c r="O172" s="14"/>
      <c r="P172" s="13"/>
      <c r="Q172" s="9"/>
      <c r="R172" s="13"/>
      <c r="S172" s="13"/>
      <c r="T172" s="17"/>
    </row>
    <row r="173" spans="1:20" x14ac:dyDescent="0.2">
      <c r="A173" s="9"/>
      <c r="B173" s="13"/>
      <c r="C173" s="14"/>
      <c r="D173" s="2"/>
      <c r="E173" s="2"/>
      <c r="F173" s="12"/>
      <c r="G173" s="13"/>
      <c r="H173" s="13"/>
      <c r="I173" s="9"/>
      <c r="J173" s="13"/>
      <c r="K173" s="13"/>
      <c r="L173" s="12"/>
      <c r="M173" s="12"/>
      <c r="N173" s="2"/>
      <c r="O173" s="14"/>
      <c r="P173" s="13"/>
      <c r="Q173" s="9"/>
      <c r="R173" s="13"/>
      <c r="S173" s="13"/>
      <c r="T173" s="17"/>
    </row>
    <row r="174" spans="1:20" x14ac:dyDescent="0.2">
      <c r="A174" s="9"/>
      <c r="B174" s="13"/>
      <c r="C174" s="14"/>
      <c r="D174" s="2"/>
      <c r="E174" s="2"/>
      <c r="F174" s="12"/>
      <c r="G174" s="13"/>
      <c r="H174" s="13"/>
      <c r="I174" s="9"/>
      <c r="J174" s="13"/>
      <c r="K174" s="13"/>
      <c r="L174" s="12"/>
      <c r="M174" s="12"/>
      <c r="N174" s="2"/>
      <c r="O174" s="14"/>
      <c r="P174" s="13"/>
      <c r="Q174" s="9"/>
      <c r="R174" s="13"/>
      <c r="S174" s="13"/>
      <c r="T174" s="17"/>
    </row>
    <row r="175" spans="1:20" x14ac:dyDescent="0.2">
      <c r="A175" s="9"/>
      <c r="B175" s="13"/>
      <c r="C175" s="14"/>
      <c r="D175" s="2"/>
      <c r="E175" s="2"/>
      <c r="F175" s="12"/>
      <c r="G175" s="13"/>
      <c r="H175" s="13"/>
      <c r="I175" s="9"/>
      <c r="J175" s="13"/>
      <c r="K175" s="13"/>
      <c r="L175" s="12"/>
      <c r="M175" s="12"/>
      <c r="N175" s="2"/>
      <c r="O175" s="14"/>
      <c r="P175" s="13"/>
      <c r="Q175" s="9"/>
      <c r="R175" s="13"/>
      <c r="S175" s="13"/>
      <c r="T175" s="17"/>
    </row>
    <row r="176" spans="1:20" x14ac:dyDescent="0.2">
      <c r="A176" s="9"/>
      <c r="B176" s="13"/>
      <c r="C176" s="14"/>
      <c r="D176" s="2"/>
      <c r="E176" s="2"/>
      <c r="F176" s="12"/>
      <c r="G176" s="13"/>
      <c r="H176" s="13"/>
      <c r="I176" s="9"/>
      <c r="J176" s="13"/>
      <c r="K176" s="13"/>
      <c r="L176" s="12"/>
      <c r="M176" s="12"/>
      <c r="N176" s="2"/>
      <c r="O176" s="14"/>
      <c r="P176" s="13"/>
      <c r="Q176" s="9"/>
      <c r="R176" s="13"/>
      <c r="S176" s="13"/>
      <c r="T176" s="17"/>
    </row>
    <row r="177" spans="1:20" x14ac:dyDescent="0.2">
      <c r="A177" s="9"/>
      <c r="B177" s="13"/>
      <c r="C177" s="14"/>
      <c r="D177" s="2"/>
      <c r="E177" s="2"/>
      <c r="F177" s="12"/>
      <c r="G177" s="13"/>
      <c r="H177" s="13"/>
      <c r="I177" s="9"/>
      <c r="J177" s="13"/>
      <c r="K177" s="13"/>
      <c r="L177" s="12"/>
      <c r="M177" s="12"/>
      <c r="N177" s="2"/>
      <c r="O177" s="14"/>
      <c r="P177" s="13"/>
      <c r="Q177" s="9"/>
      <c r="R177" s="13"/>
      <c r="S177" s="13"/>
      <c r="T177" s="17"/>
    </row>
    <row r="178" spans="1:20" x14ac:dyDescent="0.2">
      <c r="A178" s="9"/>
      <c r="B178" s="13"/>
      <c r="C178" s="14"/>
      <c r="D178" s="2"/>
      <c r="E178" s="2"/>
      <c r="F178" s="12"/>
      <c r="G178" s="13"/>
      <c r="H178" s="13"/>
      <c r="I178" s="9"/>
      <c r="J178" s="13"/>
      <c r="K178" s="13"/>
      <c r="L178" s="12"/>
      <c r="M178" s="12"/>
      <c r="N178" s="2"/>
      <c r="O178" s="14"/>
      <c r="P178" s="13"/>
      <c r="Q178" s="9"/>
      <c r="R178" s="13"/>
      <c r="S178" s="13"/>
      <c r="T178" s="17"/>
    </row>
    <row r="179" spans="1:20" x14ac:dyDescent="0.2">
      <c r="A179" s="9"/>
      <c r="B179" s="13"/>
      <c r="C179" s="14"/>
      <c r="D179" s="2"/>
      <c r="E179" s="2"/>
      <c r="F179" s="12"/>
      <c r="G179" s="13"/>
      <c r="H179" s="13"/>
      <c r="I179" s="9"/>
      <c r="J179" s="13"/>
      <c r="K179" s="13"/>
      <c r="L179" s="12"/>
      <c r="M179" s="12"/>
      <c r="N179" s="2"/>
      <c r="O179" s="14"/>
      <c r="P179" s="13"/>
      <c r="Q179" s="9"/>
      <c r="R179" s="13"/>
      <c r="S179" s="13"/>
      <c r="T179" s="17"/>
    </row>
    <row r="180" spans="1:20" x14ac:dyDescent="0.2">
      <c r="A180" s="9"/>
      <c r="B180" s="13"/>
      <c r="C180" s="14"/>
      <c r="D180" s="2"/>
      <c r="E180" s="2"/>
      <c r="F180" s="12"/>
      <c r="G180" s="13"/>
      <c r="H180" s="13"/>
      <c r="I180" s="9"/>
      <c r="J180" s="13"/>
      <c r="K180" s="13"/>
      <c r="L180" s="12"/>
      <c r="M180" s="12"/>
      <c r="N180" s="2"/>
      <c r="O180" s="14"/>
      <c r="P180" s="13"/>
      <c r="Q180" s="9"/>
      <c r="R180" s="13"/>
      <c r="S180" s="13"/>
      <c r="T180" s="17"/>
    </row>
    <row r="181" spans="1:20" x14ac:dyDescent="0.2">
      <c r="A181" s="9"/>
      <c r="B181" s="13"/>
      <c r="C181" s="14"/>
      <c r="D181" s="2"/>
      <c r="E181" s="2"/>
      <c r="F181" s="12"/>
      <c r="G181" s="13"/>
      <c r="H181" s="13"/>
      <c r="I181" s="9"/>
      <c r="J181" s="13"/>
      <c r="K181" s="13"/>
      <c r="L181" s="12"/>
      <c r="M181" s="12"/>
      <c r="N181" s="2"/>
      <c r="O181" s="14"/>
      <c r="P181" s="13"/>
      <c r="Q181" s="9"/>
      <c r="R181" s="13"/>
      <c r="S181" s="13"/>
      <c r="T181" s="17"/>
    </row>
    <row r="182" spans="1:20" x14ac:dyDescent="0.2">
      <c r="A182" s="9"/>
      <c r="B182" s="13"/>
      <c r="C182" s="14"/>
      <c r="D182" s="2"/>
      <c r="E182" s="2"/>
      <c r="F182" s="12"/>
      <c r="G182" s="13"/>
      <c r="H182" s="13"/>
      <c r="I182" s="9"/>
      <c r="J182" s="13"/>
      <c r="K182" s="13"/>
      <c r="L182" s="12"/>
      <c r="M182" s="12"/>
      <c r="N182" s="2"/>
      <c r="O182" s="14"/>
      <c r="P182" s="13"/>
      <c r="Q182" s="9"/>
      <c r="R182" s="13"/>
      <c r="S182" s="13"/>
      <c r="T182" s="17"/>
    </row>
    <row r="183" spans="1:20" x14ac:dyDescent="0.2">
      <c r="A183" s="9"/>
      <c r="B183" s="13"/>
      <c r="C183" s="14"/>
      <c r="D183" s="2"/>
      <c r="E183" s="2"/>
      <c r="F183" s="12"/>
      <c r="G183" s="13"/>
      <c r="H183" s="13"/>
      <c r="I183" s="9"/>
      <c r="J183" s="13"/>
      <c r="K183" s="13"/>
      <c r="L183" s="12"/>
      <c r="M183" s="12"/>
      <c r="N183" s="2"/>
      <c r="O183" s="14"/>
      <c r="P183" s="13"/>
      <c r="Q183" s="9"/>
      <c r="R183" s="13"/>
      <c r="S183" s="13"/>
      <c r="T183" s="17"/>
    </row>
    <row r="184" spans="1:20" x14ac:dyDescent="0.2">
      <c r="A184" s="9"/>
      <c r="B184" s="13"/>
      <c r="C184" s="14"/>
      <c r="D184" s="2"/>
      <c r="E184" s="2"/>
      <c r="F184" s="12"/>
      <c r="G184" s="13"/>
      <c r="H184" s="13"/>
      <c r="I184" s="9"/>
      <c r="J184" s="13"/>
      <c r="K184" s="13"/>
      <c r="L184" s="12"/>
      <c r="M184" s="12"/>
      <c r="N184" s="2"/>
      <c r="O184" s="14"/>
      <c r="P184" s="13"/>
      <c r="Q184" s="9"/>
      <c r="R184" s="13"/>
      <c r="S184" s="13"/>
      <c r="T184" s="17"/>
    </row>
    <row r="185" spans="1:20" x14ac:dyDescent="0.2">
      <c r="A185" s="9"/>
      <c r="B185" s="13"/>
      <c r="C185" s="14"/>
      <c r="D185" s="2"/>
      <c r="E185" s="2"/>
      <c r="F185" s="12"/>
      <c r="G185" s="13"/>
      <c r="H185" s="13"/>
      <c r="I185" s="9"/>
      <c r="J185" s="13"/>
      <c r="K185" s="13"/>
      <c r="L185" s="12"/>
      <c r="M185" s="12"/>
      <c r="N185" s="2"/>
      <c r="O185" s="14"/>
      <c r="P185" s="13"/>
      <c r="Q185" s="9"/>
      <c r="R185" s="13"/>
      <c r="S185" s="13"/>
      <c r="T185" s="17"/>
    </row>
    <row r="186" spans="1:20" x14ac:dyDescent="0.2">
      <c r="A186" s="9"/>
      <c r="B186" s="13"/>
      <c r="C186" s="14"/>
      <c r="D186" s="2"/>
      <c r="E186" s="2"/>
      <c r="F186" s="12"/>
      <c r="G186" s="13"/>
      <c r="H186" s="13"/>
      <c r="I186" s="9"/>
      <c r="J186" s="13"/>
      <c r="K186" s="13"/>
      <c r="L186" s="12"/>
      <c r="M186" s="12"/>
      <c r="N186" s="2"/>
      <c r="O186" s="14"/>
      <c r="P186" s="13"/>
      <c r="Q186" s="9"/>
      <c r="R186" s="13"/>
      <c r="S186" s="13"/>
      <c r="T186" s="17"/>
    </row>
    <row r="187" spans="1:20" x14ac:dyDescent="0.2">
      <c r="A187" s="9"/>
      <c r="B187" s="13"/>
      <c r="C187" s="14"/>
      <c r="D187" s="2"/>
      <c r="E187" s="2"/>
      <c r="F187" s="12"/>
      <c r="G187" s="13"/>
      <c r="H187" s="13"/>
      <c r="I187" s="9"/>
      <c r="J187" s="13"/>
      <c r="K187" s="13"/>
      <c r="L187" s="12"/>
      <c r="M187" s="12"/>
      <c r="N187" s="2"/>
      <c r="O187" s="14"/>
      <c r="P187" s="13"/>
      <c r="Q187" s="9"/>
      <c r="R187" s="13"/>
      <c r="S187" s="13"/>
      <c r="T187" s="17"/>
    </row>
    <row r="188" spans="1:20" x14ac:dyDescent="0.2">
      <c r="A188" s="9"/>
      <c r="B188" s="13"/>
      <c r="C188" s="14"/>
      <c r="D188" s="2"/>
      <c r="E188" s="2"/>
      <c r="F188" s="12"/>
      <c r="G188" s="13"/>
      <c r="H188" s="13"/>
      <c r="I188" s="9"/>
      <c r="J188" s="13"/>
      <c r="K188" s="13"/>
      <c r="L188" s="12"/>
      <c r="M188" s="12"/>
      <c r="N188" s="2"/>
      <c r="O188" s="14"/>
      <c r="P188" s="13"/>
      <c r="Q188" s="9"/>
      <c r="R188" s="13"/>
      <c r="S188" s="13"/>
      <c r="T188" s="17"/>
    </row>
    <row r="189" spans="1:20" x14ac:dyDescent="0.2">
      <c r="A189" s="9"/>
      <c r="B189" s="13"/>
      <c r="C189" s="14"/>
      <c r="D189" s="2"/>
      <c r="E189" s="2"/>
      <c r="F189" s="12"/>
      <c r="G189" s="13"/>
      <c r="H189" s="13"/>
      <c r="I189" s="9"/>
      <c r="J189" s="13"/>
      <c r="K189" s="13"/>
      <c r="L189" s="12"/>
      <c r="M189" s="12"/>
      <c r="N189" s="2"/>
      <c r="O189" s="14"/>
      <c r="P189" s="13"/>
      <c r="Q189" s="9"/>
      <c r="R189" s="13"/>
      <c r="S189" s="13"/>
      <c r="T189" s="17"/>
    </row>
    <row r="190" spans="1:20" x14ac:dyDescent="0.2">
      <c r="A190" s="9"/>
      <c r="B190" s="13"/>
      <c r="C190" s="14"/>
      <c r="D190" s="2"/>
      <c r="E190" s="2"/>
      <c r="F190" s="12"/>
      <c r="G190" s="13"/>
      <c r="H190" s="13"/>
      <c r="I190" s="9"/>
      <c r="J190" s="13"/>
      <c r="K190" s="13"/>
      <c r="L190" s="12"/>
      <c r="M190" s="12"/>
      <c r="N190" s="2"/>
      <c r="O190" s="14"/>
      <c r="P190" s="13"/>
      <c r="Q190" s="9"/>
      <c r="R190" s="13"/>
      <c r="S190" s="13"/>
      <c r="T190" s="17"/>
    </row>
    <row r="191" spans="1:20" x14ac:dyDescent="0.2">
      <c r="A191" s="9"/>
      <c r="B191" s="13"/>
      <c r="C191" s="14"/>
      <c r="D191" s="2"/>
      <c r="E191" s="2"/>
      <c r="F191" s="12"/>
      <c r="G191" s="13"/>
      <c r="H191" s="13"/>
      <c r="I191" s="9"/>
      <c r="J191" s="13"/>
      <c r="K191" s="13"/>
      <c r="L191" s="12"/>
      <c r="M191" s="12"/>
      <c r="N191" s="2"/>
      <c r="O191" s="14"/>
      <c r="P191" s="13"/>
      <c r="Q191" s="9"/>
      <c r="R191" s="13"/>
      <c r="S191" s="13"/>
      <c r="T191" s="17"/>
    </row>
    <row r="192" spans="1:20" x14ac:dyDescent="0.2">
      <c r="A192" s="9"/>
      <c r="B192" s="13"/>
      <c r="C192" s="14"/>
      <c r="D192" s="2"/>
      <c r="E192" s="2"/>
      <c r="F192" s="12"/>
      <c r="G192" s="13"/>
      <c r="H192" s="13"/>
      <c r="I192" s="9"/>
      <c r="J192" s="13"/>
      <c r="K192" s="13"/>
      <c r="L192" s="12"/>
      <c r="M192" s="12"/>
      <c r="N192" s="2"/>
      <c r="O192" s="14"/>
      <c r="P192" s="13"/>
      <c r="Q192" s="9"/>
      <c r="R192" s="13"/>
      <c r="S192" s="13"/>
      <c r="T192" s="17"/>
    </row>
    <row r="193" spans="1:20" x14ac:dyDescent="0.2">
      <c r="A193" s="9"/>
      <c r="B193" s="13"/>
      <c r="C193" s="14"/>
      <c r="D193" s="2"/>
      <c r="E193" s="2"/>
      <c r="F193" s="12"/>
      <c r="G193" s="13"/>
      <c r="H193" s="13"/>
      <c r="I193" s="9"/>
      <c r="J193" s="13"/>
      <c r="K193" s="13"/>
      <c r="L193" s="12"/>
      <c r="M193" s="12"/>
      <c r="N193" s="2"/>
      <c r="O193" s="14"/>
      <c r="P193" s="13"/>
      <c r="Q193" s="9"/>
      <c r="R193" s="13"/>
      <c r="S193" s="13"/>
      <c r="T193" s="17"/>
    </row>
    <row r="194" spans="1:20" x14ac:dyDescent="0.2">
      <c r="A194" s="9"/>
      <c r="B194" s="13"/>
      <c r="C194" s="14"/>
      <c r="D194" s="2"/>
      <c r="E194" s="2"/>
      <c r="F194" s="12"/>
      <c r="G194" s="13"/>
      <c r="H194" s="13"/>
      <c r="I194" s="9"/>
      <c r="J194" s="13"/>
      <c r="K194" s="13"/>
      <c r="L194" s="12"/>
      <c r="M194" s="12"/>
      <c r="N194" s="2"/>
      <c r="O194" s="14"/>
      <c r="P194" s="13"/>
      <c r="Q194" s="9"/>
      <c r="R194" s="13"/>
      <c r="S194" s="13"/>
      <c r="T194" s="17"/>
    </row>
    <row r="195" spans="1:20" x14ac:dyDescent="0.2">
      <c r="A195" s="9"/>
      <c r="B195" s="13"/>
      <c r="C195" s="14"/>
      <c r="D195" s="2"/>
      <c r="E195" s="2"/>
      <c r="F195" s="12"/>
      <c r="G195" s="13"/>
      <c r="H195" s="13"/>
      <c r="I195" s="9"/>
      <c r="J195" s="13"/>
      <c r="K195" s="13"/>
      <c r="L195" s="12"/>
      <c r="M195" s="12"/>
      <c r="N195" s="2"/>
      <c r="O195" s="14"/>
      <c r="P195" s="13"/>
      <c r="Q195" s="9"/>
      <c r="R195" s="13"/>
      <c r="S195" s="13"/>
      <c r="T195" s="17"/>
    </row>
    <row r="196" spans="1:20" x14ac:dyDescent="0.2">
      <c r="A196" s="9"/>
      <c r="B196" s="13"/>
      <c r="C196" s="14"/>
      <c r="D196" s="2"/>
      <c r="E196" s="2"/>
      <c r="F196" s="12"/>
      <c r="G196" s="13"/>
      <c r="H196" s="13"/>
      <c r="I196" s="9"/>
      <c r="J196" s="13"/>
      <c r="K196" s="13"/>
      <c r="L196" s="12"/>
      <c r="M196" s="12"/>
      <c r="N196" s="2"/>
      <c r="O196" s="14"/>
      <c r="P196" s="13"/>
      <c r="Q196" s="9"/>
      <c r="R196" s="13"/>
      <c r="S196" s="13"/>
      <c r="T196" s="17"/>
    </row>
    <row r="197" spans="1:20" x14ac:dyDescent="0.2">
      <c r="A197" s="9"/>
      <c r="B197" s="13"/>
      <c r="C197" s="14"/>
      <c r="D197" s="2"/>
      <c r="E197" s="2"/>
      <c r="F197" s="12"/>
      <c r="G197" s="13"/>
      <c r="H197" s="13"/>
      <c r="I197" s="9"/>
      <c r="J197" s="13"/>
      <c r="K197" s="13"/>
      <c r="L197" s="12"/>
      <c r="M197" s="12"/>
      <c r="N197" s="2"/>
      <c r="O197" s="14"/>
      <c r="P197" s="13"/>
      <c r="Q197" s="9"/>
      <c r="R197" s="13"/>
      <c r="S197" s="13"/>
      <c r="T197" s="17"/>
    </row>
    <row r="198" spans="1:20" x14ac:dyDescent="0.2">
      <c r="A198" s="9"/>
      <c r="B198" s="13"/>
      <c r="C198" s="14"/>
      <c r="D198" s="2"/>
      <c r="E198" s="2"/>
      <c r="F198" s="12"/>
      <c r="G198" s="13"/>
      <c r="H198" s="13"/>
      <c r="I198" s="9"/>
      <c r="J198" s="13"/>
      <c r="K198" s="13"/>
      <c r="L198" s="12"/>
      <c r="M198" s="12"/>
      <c r="N198" s="2"/>
      <c r="O198" s="14"/>
      <c r="P198" s="13"/>
      <c r="Q198" s="9"/>
      <c r="R198" s="13"/>
      <c r="S198" s="13"/>
      <c r="T198" s="17"/>
    </row>
    <row r="199" spans="1:20" x14ac:dyDescent="0.2">
      <c r="A199" s="9"/>
      <c r="B199" s="13"/>
      <c r="C199" s="14"/>
      <c r="D199" s="2"/>
      <c r="E199" s="2"/>
      <c r="F199" s="12"/>
      <c r="G199" s="13"/>
      <c r="H199" s="13"/>
      <c r="I199" s="9"/>
      <c r="J199" s="13"/>
      <c r="K199" s="13"/>
      <c r="L199" s="12"/>
      <c r="M199" s="12"/>
      <c r="N199" s="2"/>
      <c r="O199" s="14"/>
      <c r="P199" s="13"/>
      <c r="Q199" s="9"/>
      <c r="R199" s="13"/>
      <c r="S199" s="13"/>
      <c r="T199" s="17"/>
    </row>
    <row r="200" spans="1:20" x14ac:dyDescent="0.2">
      <c r="A200" s="9"/>
      <c r="B200" s="13"/>
      <c r="C200" s="14"/>
      <c r="D200" s="2"/>
      <c r="E200" s="2"/>
      <c r="F200" s="12"/>
      <c r="G200" s="13"/>
      <c r="H200" s="13"/>
      <c r="I200" s="9"/>
      <c r="J200" s="13"/>
      <c r="K200" s="13"/>
      <c r="L200" s="12"/>
      <c r="M200" s="12"/>
      <c r="N200" s="2"/>
      <c r="O200" s="14"/>
      <c r="P200" s="13"/>
      <c r="Q200" s="9"/>
      <c r="R200" s="13"/>
      <c r="S200" s="13"/>
      <c r="T200" s="17"/>
    </row>
    <row r="201" spans="1:20" x14ac:dyDescent="0.2">
      <c r="A201" s="9" t="s">
        <v>92</v>
      </c>
      <c r="B201" s="9" t="s">
        <v>92</v>
      </c>
      <c r="C201" s="9" t="s">
        <v>92</v>
      </c>
      <c r="D201" s="9" t="s">
        <v>92</v>
      </c>
      <c r="E201" s="9" t="s">
        <v>92</v>
      </c>
      <c r="F201" s="9" t="s">
        <v>92</v>
      </c>
      <c r="G201" s="9" t="s">
        <v>92</v>
      </c>
      <c r="H201" s="9" t="s">
        <v>92</v>
      </c>
      <c r="I201" s="9"/>
      <c r="J201" s="9" t="s">
        <v>92</v>
      </c>
      <c r="K201" s="9" t="s">
        <v>92</v>
      </c>
      <c r="L201" s="9" t="s">
        <v>92</v>
      </c>
      <c r="M201" s="9" t="s">
        <v>92</v>
      </c>
      <c r="N201" s="9" t="s">
        <v>92</v>
      </c>
      <c r="O201" s="9" t="s">
        <v>92</v>
      </c>
      <c r="P201" s="9" t="s">
        <v>92</v>
      </c>
      <c r="Q201" s="9" t="s">
        <v>92</v>
      </c>
      <c r="R201" s="9" t="s">
        <v>92</v>
      </c>
      <c r="S201" s="9" t="s">
        <v>92</v>
      </c>
      <c r="T201" s="9" t="s">
        <v>92</v>
      </c>
    </row>
    <row r="587" spans="6:6" x14ac:dyDescent="0.2">
      <c r="F587" s="1" t="s">
        <v>122</v>
      </c>
    </row>
    <row r="615" spans="6:6" x14ac:dyDescent="0.2">
      <c r="F615" s="1" t="s">
        <v>344</v>
      </c>
    </row>
  </sheetData>
  <mergeCells count="27">
    <mergeCell ref="D4:E4"/>
    <mergeCell ref="D9:E9"/>
    <mergeCell ref="T2:T3"/>
    <mergeCell ref="T5:T6"/>
    <mergeCell ref="D2:E2"/>
    <mergeCell ref="D3:E3"/>
    <mergeCell ref="R5:S6"/>
    <mergeCell ref="R2:S3"/>
    <mergeCell ref="D6:E6"/>
    <mergeCell ref="D5:E5"/>
    <mergeCell ref="I2:K2"/>
    <mergeCell ref="I3:K3"/>
    <mergeCell ref="I4:K4"/>
    <mergeCell ref="I5:K5"/>
    <mergeCell ref="R8:S9"/>
    <mergeCell ref="T8:T9"/>
    <mergeCell ref="D8:E8"/>
    <mergeCell ref="D7:E7"/>
    <mergeCell ref="R11:T11"/>
    <mergeCell ref="A11:H11"/>
    <mergeCell ref="I11:I12"/>
    <mergeCell ref="J11:Q11"/>
    <mergeCell ref="I6:K6"/>
    <mergeCell ref="I7:K7"/>
    <mergeCell ref="I8:K8"/>
    <mergeCell ref="P3:P4"/>
    <mergeCell ref="P7:P8"/>
  </mergeCells>
  <conditionalFormatting sqref="A13:A200">
    <cfRule type="cellIs" dxfId="19" priority="16" operator="equal">
      <formula>"LONG_UNWIND"</formula>
    </cfRule>
    <cfRule type="cellIs" dxfId="18" priority="17" operator="equal">
      <formula>"FRESH_SHORT"</formula>
    </cfRule>
    <cfRule type="cellIs" dxfId="17" priority="18" operator="equal">
      <formula>"SHORT_COVER"</formula>
    </cfRule>
    <cfRule type="cellIs" dxfId="16" priority="19" operator="equal">
      <formula>"FRESH_LONG"</formula>
    </cfRule>
  </conditionalFormatting>
  <conditionalFormatting sqref="E13:E10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{54EDB6D3-4787-4EB3-8E64-42EFED1570C9}</x14:id>
        </ext>
      </extLst>
    </cfRule>
  </conditionalFormatting>
  <conditionalFormatting sqref="F7">
    <cfRule type="cellIs" dxfId="15" priority="24" operator="lessThan">
      <formula>$F$6</formula>
    </cfRule>
    <cfRule type="cellIs" dxfId="14" priority="25" operator="greaterThan">
      <formula>$F$6</formula>
    </cfRule>
  </conditionalFormatting>
  <conditionalFormatting sqref="F8:G9">
    <cfRule type="cellIs" dxfId="13" priority="20" operator="lessThan">
      <formula>0</formula>
    </cfRule>
    <cfRule type="cellIs" dxfId="12" priority="21" operator="greaterThan">
      <formula>0</formula>
    </cfRule>
  </conditionalFormatting>
  <conditionalFormatting sqref="G7">
    <cfRule type="cellIs" dxfId="11" priority="22" operator="lessThan">
      <formula>$G$6</formula>
    </cfRule>
    <cfRule type="cellIs" dxfId="10" priority="23" operator="greaterThan">
      <formula>$G$6</formula>
    </cfRule>
  </conditionalFormatting>
  <conditionalFormatting sqref="P3:P4">
    <cfRule type="containsBlanks" dxfId="9" priority="2">
      <formula>LEN(TRIM(P3))=0</formula>
    </cfRule>
    <cfRule type="cellIs" dxfId="8" priority="5" operator="equal">
      <formula>"BEARISH"</formula>
    </cfRule>
    <cfRule type="cellIs" dxfId="7" priority="6" operator="equal">
      <formula>"BULLISH"</formula>
    </cfRule>
  </conditionalFormatting>
  <conditionalFormatting sqref="P7:P8">
    <cfRule type="containsBlanks" dxfId="6" priority="1">
      <formula>LEN(TRIM(P7))=0</formula>
    </cfRule>
    <cfRule type="cellIs" dxfId="5" priority="3" operator="equal">
      <formula>"BEARISH"</formula>
    </cfRule>
    <cfRule type="cellIs" dxfId="4" priority="4" operator="equal">
      <formula>"BULLISH"</formula>
    </cfRule>
  </conditionalFormatting>
  <conditionalFormatting sqref="Q13:Q200">
    <cfRule type="cellIs" dxfId="3" priority="12" operator="equal">
      <formula>"LONG_UNWIND"</formula>
    </cfRule>
    <cfRule type="cellIs" dxfId="2" priority="13" operator="equal">
      <formula>"FRESH_SHORT"</formula>
    </cfRule>
    <cfRule type="cellIs" dxfId="1" priority="14" operator="equal">
      <formula>"SHORT_COVER"</formula>
    </cfRule>
    <cfRule type="cellIs" dxfId="0" priority="15" operator="equal">
      <formula>"FRESH_LONG"</formula>
    </cfRule>
  </conditionalFormatting>
  <conditionalFormatting sqref="B13:B20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D200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{1DCA7F91-154C-4B84-A74D-0B107990D59D}</x14:id>
        </ext>
      </extLst>
    </cfRule>
  </conditionalFormatting>
  <conditionalFormatting sqref="E13:E200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{54696113-5C60-42C4-AC46-B84A82904C02}</x14:id>
        </ext>
      </extLst>
    </cfRule>
  </conditionalFormatting>
  <conditionalFormatting sqref="F13:F200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{2CFE006B-A437-4828-9859-31C3EA73B99B}</x14:id>
        </ext>
      </extLst>
    </cfRule>
  </conditionalFormatting>
  <conditionalFormatting sqref="G13:G20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:H20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J200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:K20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200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{C1F2A133-10C0-44E0-97C2-CC1DCFCD5A3F}</x14:id>
        </ext>
      </extLst>
    </cfRule>
  </conditionalFormatting>
  <conditionalFormatting sqref="M13:M200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{52E48311-BC0A-4CB4-848E-CE27E455E68B}</x14:id>
        </ext>
      </extLst>
    </cfRule>
  </conditionalFormatting>
  <conditionalFormatting sqref="N13:N200">
    <cfRule type="dataBar" priority="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{7DC06531-9CAC-441A-8716-4BDBE8BE7E4B}</x14:id>
        </ext>
      </extLst>
    </cfRule>
  </conditionalFormatting>
  <conditionalFormatting sqref="P13:P20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:R200">
    <cfRule type="dataBar" priority="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{9479CAA0-20DC-41FB-A95B-AC4AD510995C}</x14:id>
        </ext>
      </extLst>
    </cfRule>
  </conditionalFormatting>
  <conditionalFormatting sqref="S13:S200">
    <cfRule type="dataBar" priority="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{A727D143-997C-4864-9803-C2EE3D66CA56}</x14:id>
        </ext>
      </extLst>
    </cfRule>
  </conditionalFormatting>
  <conditionalFormatting sqref="T13:T200">
    <cfRule type="colorScale" priority="53">
      <colorScale>
        <cfvo type="min"/>
        <cfvo type="max"/>
        <color rgb="FFFFEF9C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  <cfRule type="dataBar" priority="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{68DB621A-10F7-46D3-AE57-909507F3F1AD}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tionChainSummary">
                <anchor moveWithCells="1">
                  <from>
                    <xdr:col>1</xdr:col>
                    <xdr:colOff>76200</xdr:colOff>
                    <xdr:row>7</xdr:row>
                    <xdr:rowOff>22860</xdr:rowOff>
                  </from>
                  <to>
                    <xdr:col>2</xdr:col>
                    <xdr:colOff>373380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OptionChain">
                <anchor moveWithCells="1">
                  <from>
                    <xdr:col>0</xdr:col>
                    <xdr:colOff>106680</xdr:colOff>
                    <xdr:row>7</xdr:row>
                    <xdr:rowOff>30480</xdr:rowOff>
                  </from>
                  <to>
                    <xdr:col>0</xdr:col>
                    <xdr:colOff>1051560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EDB6D3-4787-4EB3-8E64-42EFED1570C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E13:E107</xm:sqref>
        </x14:conditionalFormatting>
        <x14:conditionalFormatting xmlns:xm="http://schemas.microsoft.com/office/excel/2006/main">
          <x14:cfRule type="dataBar" id="{1DCA7F91-154C-4B84-A74D-0B107990D5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theme="0"/>
            </x14:dataBar>
          </x14:cfRule>
          <xm:sqref>D13:D200</xm:sqref>
        </x14:conditionalFormatting>
        <x14:conditionalFormatting xmlns:xm="http://schemas.microsoft.com/office/excel/2006/main">
          <x14:cfRule type="dataBar" id="{54696113-5C60-42C4-AC46-B84A82904C0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E13:E200</xm:sqref>
        </x14:conditionalFormatting>
        <x14:conditionalFormatting xmlns:xm="http://schemas.microsoft.com/office/excel/2006/main">
          <x14:cfRule type="dataBar" id="{2CFE006B-A437-4828-9859-31C3EA73B9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F13:F200</xm:sqref>
        </x14:conditionalFormatting>
        <x14:conditionalFormatting xmlns:xm="http://schemas.microsoft.com/office/excel/2006/main">
          <x14:cfRule type="dataBar" id="{C1F2A133-10C0-44E0-97C2-CC1DCFCD5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L13:L200</xm:sqref>
        </x14:conditionalFormatting>
        <x14:conditionalFormatting xmlns:xm="http://schemas.microsoft.com/office/excel/2006/main">
          <x14:cfRule type="dataBar" id="{52E48311-BC0A-4CB4-848E-CE27E455E6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M13:M200</xm:sqref>
        </x14:conditionalFormatting>
        <x14:conditionalFormatting xmlns:xm="http://schemas.microsoft.com/office/excel/2006/main">
          <x14:cfRule type="dataBar" id="{7DC06531-9CAC-441A-8716-4BDBE8BE7E4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theme="0"/>
            </x14:dataBar>
          </x14:cfRule>
          <xm:sqref>N13:N200</xm:sqref>
        </x14:conditionalFormatting>
        <x14:conditionalFormatting xmlns:xm="http://schemas.microsoft.com/office/excel/2006/main">
          <x14:cfRule type="dataBar" id="{9479CAA0-20DC-41FB-A95B-AC4AD51099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R13:R200</xm:sqref>
        </x14:conditionalFormatting>
        <x14:conditionalFormatting xmlns:xm="http://schemas.microsoft.com/office/excel/2006/main">
          <x14:cfRule type="dataBar" id="{A727D143-997C-4864-9803-C2EE3D66CA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S13:S200</xm:sqref>
        </x14:conditionalFormatting>
        <x14:conditionalFormatting xmlns:xm="http://schemas.microsoft.com/office/excel/2006/main">
          <x14:cfRule type="dataBar" id="{68DB621A-10F7-46D3-AE57-909507F3F1A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T13:T200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78CBEC-73FC-4AC3-931E-B21C44B09AA2}">
          <x14:formula1>
            <xm:f>Option_Chain_Raw!$A$2:$A$500</xm:f>
          </x14:formula1>
          <xm:sqref>B2</xm:sqref>
        </x14:dataValidation>
        <x14:dataValidation type="list" allowBlank="1" showInputMessage="1" showErrorMessage="1" xr:uid="{3B5DADB9-8B55-4C55-AF63-A17B02631223}">
          <x14:formula1>
            <xm:f>Option_Chain_Raw!$C$2:$C$20</xm:f>
          </x14:formula1>
          <xm:sqref>B3</xm:sqref>
        </x14:dataValidation>
        <x14:dataValidation type="list" allowBlank="1" showInputMessage="1" showErrorMessage="1" xr:uid="{527F005E-F07E-4D20-BF04-AD9450951E4F}">
          <x14:formula1>
            <xm:f>Option_Chain_Raw!$B$2:$B$5</xm:f>
          </x14:formula1>
          <xm:sqref>B4</xm:sqref>
        </x14:dataValidation>
        <x14:dataValidation type="list" allowBlank="1" showInputMessage="1" showErrorMessage="1" xr:uid="{C0BD44B3-DDCC-44F8-8EB1-04FF58087029}">
          <x14:formula1>
            <xm:f>Option_Chain_Raw!$BG$2:$BG$26</xm:f>
          </x14:formula1>
          <xm:sqref>B12:H12 J12:P12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6091-0EA0-4FDD-BE0E-67551128ED10}">
  <sheetPr codeName="Sheet3">
    <tabColor theme="5"/>
  </sheetPr>
  <dimension ref="A1:BH301"/>
  <sheetViews>
    <sheetView showGridLines="0" workbookViewId="0"/>
  </sheetViews>
  <sheetFormatPr defaultColWidth="8.88671875" defaultRowHeight="10.199999999999999" x14ac:dyDescent="0.2"/>
  <cols>
    <col min="1" max="1" width="22.109375" style="1" customWidth="1"/>
    <col min="2" max="2" width="20.5546875" style="1" customWidth="1"/>
    <col min="3" max="3" width="22.33203125" style="1" customWidth="1"/>
    <col min="4" max="4" width="3.6640625" style="1" customWidth="1"/>
    <col min="5" max="56" width="22.33203125" style="1" customWidth="1"/>
    <col min="57" max="57" width="8.88671875" style="1"/>
    <col min="58" max="58" width="22.33203125" style="1" customWidth="1"/>
    <col min="59" max="60" width="10.109375" style="1" bestFit="1" customWidth="1"/>
    <col min="61" max="16384" width="8.88671875" style="1"/>
  </cols>
  <sheetData>
    <row r="1" spans="1:60" x14ac:dyDescent="0.2">
      <c r="A1" s="3" t="s">
        <v>123</v>
      </c>
      <c r="B1" s="3" t="s">
        <v>341</v>
      </c>
      <c r="C1" s="3" t="s">
        <v>340</v>
      </c>
      <c r="E1" s="3"/>
      <c r="F1" s="3" t="s">
        <v>37</v>
      </c>
      <c r="G1" s="3" t="s">
        <v>38</v>
      </c>
      <c r="H1" s="3" t="s">
        <v>39</v>
      </c>
      <c r="I1" s="3" t="s">
        <v>40</v>
      </c>
      <c r="J1" s="3" t="s">
        <v>41</v>
      </c>
      <c r="K1" s="3" t="s">
        <v>42</v>
      </c>
      <c r="L1" s="3" t="s">
        <v>43</v>
      </c>
      <c r="M1" s="3" t="s">
        <v>44</v>
      </c>
      <c r="N1" s="3" t="s">
        <v>45</v>
      </c>
      <c r="O1" s="3" t="s">
        <v>46</v>
      </c>
      <c r="P1" s="3" t="s">
        <v>47</v>
      </c>
      <c r="Q1" s="3" t="s">
        <v>48</v>
      </c>
      <c r="R1" s="3" t="s">
        <v>49</v>
      </c>
      <c r="S1" s="3" t="s">
        <v>50</v>
      </c>
      <c r="T1" s="3" t="s">
        <v>51</v>
      </c>
      <c r="U1" s="3" t="s">
        <v>52</v>
      </c>
      <c r="V1" s="3" t="s">
        <v>53</v>
      </c>
      <c r="W1" s="3" t="s">
        <v>54</v>
      </c>
      <c r="X1" s="3" t="s">
        <v>55</v>
      </c>
      <c r="Y1" s="3" t="s">
        <v>56</v>
      </c>
      <c r="Z1" s="3" t="s">
        <v>57</v>
      </c>
      <c r="AA1" s="3" t="s">
        <v>58</v>
      </c>
      <c r="AB1" s="3" t="s">
        <v>59</v>
      </c>
      <c r="AC1" s="3" t="s">
        <v>60</v>
      </c>
      <c r="AD1" s="3" t="s">
        <v>61</v>
      </c>
      <c r="AE1" s="3" t="s">
        <v>62</v>
      </c>
      <c r="AF1" s="3" t="s">
        <v>63</v>
      </c>
      <c r="AG1" s="3" t="s">
        <v>64</v>
      </c>
      <c r="AH1" s="3" t="s">
        <v>65</v>
      </c>
      <c r="AI1" s="3" t="s">
        <v>66</v>
      </c>
      <c r="AJ1" s="3" t="s">
        <v>67</v>
      </c>
      <c r="AK1" s="3" t="s">
        <v>68</v>
      </c>
      <c r="AL1" s="3" t="s">
        <v>69</v>
      </c>
      <c r="AM1" s="3" t="s">
        <v>70</v>
      </c>
      <c r="AN1" s="3" t="s">
        <v>71</v>
      </c>
      <c r="AO1" s="3" t="s">
        <v>72</v>
      </c>
      <c r="AP1" s="3" t="s">
        <v>73</v>
      </c>
      <c r="AQ1" s="3" t="s">
        <v>74</v>
      </c>
      <c r="AR1" s="3" t="s">
        <v>75</v>
      </c>
      <c r="AS1" s="3" t="s">
        <v>76</v>
      </c>
      <c r="AT1" s="3" t="s">
        <v>77</v>
      </c>
      <c r="AU1" s="3" t="s">
        <v>78</v>
      </c>
      <c r="AV1" s="3" t="s">
        <v>79</v>
      </c>
      <c r="AW1" s="3" t="s">
        <v>80</v>
      </c>
      <c r="AX1" s="3" t="s">
        <v>81</v>
      </c>
      <c r="AY1" s="3" t="s">
        <v>82</v>
      </c>
      <c r="AZ1" s="3" t="s">
        <v>83</v>
      </c>
      <c r="BA1" s="3" t="s">
        <v>84</v>
      </c>
      <c r="BB1" s="3" t="s">
        <v>85</v>
      </c>
      <c r="BC1" s="3" t="s">
        <v>86</v>
      </c>
      <c r="BD1" s="3" t="s">
        <v>87</v>
      </c>
      <c r="BF1" s="3" t="s">
        <v>93</v>
      </c>
      <c r="BG1" s="3" t="s">
        <v>94</v>
      </c>
      <c r="BH1" s="3" t="s">
        <v>113</v>
      </c>
    </row>
    <row r="2" spans="1:60" x14ac:dyDescent="0.2">
      <c r="A2" s="2" t="s">
        <v>124</v>
      </c>
      <c r="B2" s="7">
        <v>45930</v>
      </c>
      <c r="C2" s="7">
        <v>45930</v>
      </c>
      <c r="E2" s="2">
        <v>17000</v>
      </c>
      <c r="F2" s="2" t="s">
        <v>342</v>
      </c>
      <c r="G2" s="2">
        <v>7750</v>
      </c>
      <c r="H2" s="2">
        <v>48.149999999999636</v>
      </c>
      <c r="I2" s="2">
        <v>300</v>
      </c>
      <c r="J2" s="8">
        <v>45929.56894675926</v>
      </c>
      <c r="K2" s="2">
        <v>7950</v>
      </c>
      <c r="L2" s="2">
        <v>7350</v>
      </c>
      <c r="M2" s="2">
        <v>7801.48</v>
      </c>
      <c r="N2" s="2">
        <v>7780</v>
      </c>
      <c r="O2" s="2">
        <v>7850</v>
      </c>
      <c r="P2" s="2">
        <v>7655</v>
      </c>
      <c r="Q2" s="2">
        <v>7748.8</v>
      </c>
      <c r="R2" s="2">
        <v>7755.3</v>
      </c>
      <c r="S2" s="2">
        <v>7701.85</v>
      </c>
      <c r="T2" s="2">
        <v>87900</v>
      </c>
      <c r="U2" s="2">
        <v>815</v>
      </c>
      <c r="V2" s="2">
        <v>-899</v>
      </c>
      <c r="W2" s="2">
        <v>7716.25</v>
      </c>
      <c r="X2" s="2">
        <v>33.75</v>
      </c>
      <c r="Y2" s="2">
        <v>3.3829456575250223</v>
      </c>
      <c r="Z2" s="2">
        <v>0.98342516159694282</v>
      </c>
      <c r="AA2" s="2">
        <v>9.0843356794139898E-6</v>
      </c>
      <c r="AB2" s="2">
        <v>0.48843511851612564</v>
      </c>
      <c r="AC2" s="2">
        <v>-91.537304473463195</v>
      </c>
      <c r="AD2" s="2">
        <v>0.55384666856423126</v>
      </c>
      <c r="AE2" s="2">
        <v>17000</v>
      </c>
      <c r="AF2" s="2" t="s">
        <v>343</v>
      </c>
      <c r="AG2" s="2">
        <v>0.35</v>
      </c>
      <c r="AH2" s="2">
        <v>-0.15000000000000002</v>
      </c>
      <c r="AI2" s="2">
        <v>75</v>
      </c>
      <c r="AJ2" s="8">
        <v>45929.56858796296</v>
      </c>
      <c r="AK2" s="2">
        <v>6701850</v>
      </c>
      <c r="AL2" s="2">
        <v>345225</v>
      </c>
      <c r="AM2" s="2">
        <v>0.43</v>
      </c>
      <c r="AN2" s="2">
        <v>0.5</v>
      </c>
      <c r="AO2" s="2">
        <v>0.5</v>
      </c>
      <c r="AP2" s="2">
        <v>0.35</v>
      </c>
      <c r="AQ2" s="2">
        <v>0.35</v>
      </c>
      <c r="AR2" s="2">
        <v>0.4</v>
      </c>
      <c r="AS2" s="2">
        <v>0.5</v>
      </c>
      <c r="AT2" s="2">
        <v>687975</v>
      </c>
      <c r="AU2" s="2">
        <v>3402</v>
      </c>
      <c r="AV2" s="2">
        <v>369</v>
      </c>
      <c r="AW2" s="2">
        <v>-7716.25</v>
      </c>
      <c r="AX2" s="2">
        <v>7716.6</v>
      </c>
      <c r="AY2" s="2">
        <v>2.1161375447488719</v>
      </c>
      <c r="AZ2" s="2">
        <v>-4.563656914267078E-4</v>
      </c>
      <c r="BA2" s="2">
        <v>5.7485404901035091E-7</v>
      </c>
      <c r="BB2" s="2">
        <v>-3.4308569397605005E-4</v>
      </c>
      <c r="BC2" s="2">
        <v>-2.1510220133691056</v>
      </c>
      <c r="BD2" s="2">
        <v>2.1923135382406419E-2</v>
      </c>
      <c r="BF2" s="2" t="s">
        <v>37</v>
      </c>
      <c r="BG2" s="2" t="s">
        <v>92</v>
      </c>
      <c r="BH2" s="2">
        <v>2</v>
      </c>
    </row>
    <row r="3" spans="1:60" x14ac:dyDescent="0.2">
      <c r="A3" s="2" t="s">
        <v>125</v>
      </c>
      <c r="B3" s="7">
        <v>45958</v>
      </c>
      <c r="C3" s="7">
        <v>45937</v>
      </c>
      <c r="E3" s="2">
        <v>18000</v>
      </c>
      <c r="F3" s="2" t="s">
        <v>342</v>
      </c>
      <c r="G3" s="2">
        <v>6720</v>
      </c>
      <c r="H3" s="2">
        <v>12</v>
      </c>
      <c r="I3" s="2">
        <v>75</v>
      </c>
      <c r="J3" s="8">
        <v>45929.557847222219</v>
      </c>
      <c r="K3" s="2">
        <v>9675</v>
      </c>
      <c r="L3" s="2">
        <v>4500</v>
      </c>
      <c r="M3" s="2">
        <v>6750.22</v>
      </c>
      <c r="N3" s="2">
        <v>6788</v>
      </c>
      <c r="O3" s="2">
        <v>6827.2</v>
      </c>
      <c r="P3" s="2">
        <v>6660</v>
      </c>
      <c r="Q3" s="2">
        <v>6746.2</v>
      </c>
      <c r="R3" s="2">
        <v>6775.4</v>
      </c>
      <c r="S3" s="2">
        <v>6708</v>
      </c>
      <c r="T3" s="2">
        <v>3525</v>
      </c>
      <c r="U3" s="2">
        <v>113</v>
      </c>
      <c r="V3" s="2">
        <v>-15</v>
      </c>
      <c r="W3" s="2">
        <v>6716.25</v>
      </c>
      <c r="X3" s="2">
        <v>3.75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18000</v>
      </c>
      <c r="AF3" s="2" t="s">
        <v>343</v>
      </c>
      <c r="AG3" s="2">
        <v>0.4</v>
      </c>
      <c r="AH3" s="2">
        <v>-9.9999999999999978E-2</v>
      </c>
      <c r="AI3" s="2">
        <v>375</v>
      </c>
      <c r="AJ3" s="8">
        <v>45929.564895833333</v>
      </c>
      <c r="AK3" s="2">
        <v>3511725</v>
      </c>
      <c r="AL3" s="2">
        <v>161775</v>
      </c>
      <c r="AM3" s="2">
        <v>0.45</v>
      </c>
      <c r="AN3" s="2">
        <v>0.5</v>
      </c>
      <c r="AO3" s="2">
        <v>0.55000000000000004</v>
      </c>
      <c r="AP3" s="2">
        <v>0.35</v>
      </c>
      <c r="AQ3" s="2">
        <v>0.4</v>
      </c>
      <c r="AR3" s="2">
        <v>0.45</v>
      </c>
      <c r="AS3" s="2">
        <v>0.5</v>
      </c>
      <c r="AT3" s="2">
        <v>691725</v>
      </c>
      <c r="AU3" s="2">
        <v>1284</v>
      </c>
      <c r="AV3" s="2">
        <v>312</v>
      </c>
      <c r="AW3" s="2">
        <v>-6716.25</v>
      </c>
      <c r="AX3" s="2">
        <v>6716.65</v>
      </c>
      <c r="AY3" s="2">
        <v>1.830750789757452</v>
      </c>
      <c r="AZ3" s="2">
        <v>-5.9443768430189614E-4</v>
      </c>
      <c r="BA3" s="2">
        <v>8.4858222736996972E-7</v>
      </c>
      <c r="BB3" s="2">
        <v>-4.4523633845326759E-4</v>
      </c>
      <c r="BC3" s="2">
        <v>-2.3759623160657375</v>
      </c>
      <c r="BD3" s="2">
        <v>2.7997828251097118E-2</v>
      </c>
      <c r="BF3" s="2" t="s">
        <v>38</v>
      </c>
      <c r="BG3" s="2" t="s">
        <v>0</v>
      </c>
      <c r="BH3" s="2">
        <v>3</v>
      </c>
    </row>
    <row r="4" spans="1:60" x14ac:dyDescent="0.2">
      <c r="A4" s="2" t="s">
        <v>126</v>
      </c>
      <c r="B4" s="7">
        <v>45986</v>
      </c>
      <c r="C4" s="7">
        <v>45944</v>
      </c>
      <c r="E4" s="2">
        <v>19000</v>
      </c>
      <c r="F4" s="2" t="s">
        <v>342</v>
      </c>
      <c r="G4" s="2">
        <v>5726.45</v>
      </c>
      <c r="H4" s="2">
        <v>-273.60000000000036</v>
      </c>
      <c r="I4" s="2">
        <v>75</v>
      </c>
      <c r="J4" s="8">
        <v>45929.557210648149</v>
      </c>
      <c r="K4" s="2">
        <v>8025</v>
      </c>
      <c r="L4" s="2">
        <v>8850</v>
      </c>
      <c r="M4" s="2">
        <v>5758.22</v>
      </c>
      <c r="N4" s="2">
        <v>5790</v>
      </c>
      <c r="O4" s="2">
        <v>5790</v>
      </c>
      <c r="P4" s="2">
        <v>5726.45</v>
      </c>
      <c r="Q4" s="2">
        <v>5710.6</v>
      </c>
      <c r="R4" s="2">
        <v>5771.7</v>
      </c>
      <c r="S4" s="2">
        <v>6000.05</v>
      </c>
      <c r="T4" s="2">
        <v>150</v>
      </c>
      <c r="U4" s="2">
        <v>39</v>
      </c>
      <c r="V4" s="2">
        <v>0</v>
      </c>
      <c r="W4" s="2">
        <v>5716.25</v>
      </c>
      <c r="X4" s="2">
        <v>10.199999999999818</v>
      </c>
      <c r="Y4" s="2">
        <v>1.9405087073417053</v>
      </c>
      <c r="Z4" s="2">
        <v>0.99462931859308168</v>
      </c>
      <c r="AA4" s="2">
        <v>5.9153940940690977E-6</v>
      </c>
      <c r="AB4" s="2">
        <v>0.55630133901317891</v>
      </c>
      <c r="AC4" s="2">
        <v>-23.806800487353627</v>
      </c>
      <c r="AD4" s="2">
        <v>0.20687148491721022</v>
      </c>
      <c r="AE4" s="2">
        <v>19000</v>
      </c>
      <c r="AF4" s="2" t="s">
        <v>343</v>
      </c>
      <c r="AG4" s="2">
        <v>0.45</v>
      </c>
      <c r="AH4" s="2">
        <v>-0.10000000000000003</v>
      </c>
      <c r="AI4" s="2">
        <v>600</v>
      </c>
      <c r="AJ4" s="8">
        <v>45929.56591435185</v>
      </c>
      <c r="AK4" s="2">
        <v>3456075</v>
      </c>
      <c r="AL4" s="2">
        <v>196650</v>
      </c>
      <c r="AM4" s="2">
        <v>0.45</v>
      </c>
      <c r="AN4" s="2">
        <v>0.5</v>
      </c>
      <c r="AO4" s="2">
        <v>0.55000000000000004</v>
      </c>
      <c r="AP4" s="2">
        <v>0.35</v>
      </c>
      <c r="AQ4" s="2">
        <v>0.4</v>
      </c>
      <c r="AR4" s="2">
        <v>0.45</v>
      </c>
      <c r="AS4" s="2">
        <v>0.55000000000000004</v>
      </c>
      <c r="AT4" s="2">
        <v>843600</v>
      </c>
      <c r="AU4" s="2">
        <v>1694</v>
      </c>
      <c r="AV4" s="2">
        <v>52</v>
      </c>
      <c r="AW4" s="2">
        <v>-5716.25</v>
      </c>
      <c r="AX4" s="2">
        <v>5716.7</v>
      </c>
      <c r="AY4" s="2">
        <v>1.552690546686925</v>
      </c>
      <c r="AZ4" s="2">
        <v>-7.7681338622048735E-4</v>
      </c>
      <c r="BA4" s="2">
        <v>1.2806558599370272E-6</v>
      </c>
      <c r="BB4" s="2">
        <v>-5.7969135668119512E-4</v>
      </c>
      <c r="BC4" s="2">
        <v>-2.5783311696976092</v>
      </c>
      <c r="BD4" s="2">
        <v>3.583593026861108E-2</v>
      </c>
      <c r="BF4" s="2" t="s">
        <v>39</v>
      </c>
      <c r="BG4" s="2" t="s">
        <v>13</v>
      </c>
      <c r="BH4" s="2">
        <v>4</v>
      </c>
    </row>
    <row r="5" spans="1:60" x14ac:dyDescent="0.2">
      <c r="A5" s="2" t="s">
        <v>127</v>
      </c>
      <c r="B5" s="2"/>
      <c r="C5" s="7">
        <v>45950</v>
      </c>
      <c r="E5" s="2">
        <v>20000</v>
      </c>
      <c r="F5" s="2" t="s">
        <v>342</v>
      </c>
      <c r="G5" s="2">
        <v>4750</v>
      </c>
      <c r="H5" s="2">
        <v>60.100000000000364</v>
      </c>
      <c r="I5" s="2">
        <v>75</v>
      </c>
      <c r="J5" s="8">
        <v>45929.56894675926</v>
      </c>
      <c r="K5" s="2">
        <v>7725</v>
      </c>
      <c r="L5" s="2">
        <v>7950</v>
      </c>
      <c r="M5" s="2">
        <v>4760.34</v>
      </c>
      <c r="N5" s="2">
        <v>4821</v>
      </c>
      <c r="O5" s="2">
        <v>4836</v>
      </c>
      <c r="P5" s="2">
        <v>4650.1499999999996</v>
      </c>
      <c r="Q5" s="2">
        <v>4748.7</v>
      </c>
      <c r="R5" s="2">
        <v>4763.7</v>
      </c>
      <c r="S5" s="2">
        <v>4689.8999999999996</v>
      </c>
      <c r="T5" s="2">
        <v>12150</v>
      </c>
      <c r="U5" s="2">
        <v>513</v>
      </c>
      <c r="V5" s="2">
        <v>-90</v>
      </c>
      <c r="W5" s="2">
        <v>4716.25</v>
      </c>
      <c r="X5" s="2">
        <v>33.75</v>
      </c>
      <c r="Y5" s="2">
        <v>2.0603330067450347</v>
      </c>
      <c r="Z5" s="2">
        <v>0.97444783557734393</v>
      </c>
      <c r="AA5" s="2">
        <v>2.1520837543251127E-5</v>
      </c>
      <c r="AB5" s="2">
        <v>0.57039202654746457</v>
      </c>
      <c r="AC5" s="2">
        <v>-81.746969007927405</v>
      </c>
      <c r="AD5" s="2">
        <v>0.79909394274075174</v>
      </c>
      <c r="AE5" s="2">
        <v>20000</v>
      </c>
      <c r="AF5" s="2" t="s">
        <v>343</v>
      </c>
      <c r="AG5" s="2">
        <v>0.4</v>
      </c>
      <c r="AH5" s="2">
        <v>-0.29999999999999993</v>
      </c>
      <c r="AI5" s="2">
        <v>75</v>
      </c>
      <c r="AJ5" s="8">
        <v>45929.567488425928</v>
      </c>
      <c r="AK5" s="2">
        <v>6271050</v>
      </c>
      <c r="AL5" s="2">
        <v>887250</v>
      </c>
      <c r="AM5" s="2">
        <v>0.54</v>
      </c>
      <c r="AN5" s="2">
        <v>0.55000000000000004</v>
      </c>
      <c r="AO5" s="2">
        <v>0.75</v>
      </c>
      <c r="AP5" s="2">
        <v>0.4</v>
      </c>
      <c r="AQ5" s="2">
        <v>0.4</v>
      </c>
      <c r="AR5" s="2">
        <v>0.45</v>
      </c>
      <c r="AS5" s="2">
        <v>0.7</v>
      </c>
      <c r="AT5" s="2">
        <v>1816725</v>
      </c>
      <c r="AU5" s="2">
        <v>5706</v>
      </c>
      <c r="AV5" s="2">
        <v>-530</v>
      </c>
      <c r="AW5" s="2">
        <v>-4716.25</v>
      </c>
      <c r="AX5" s="2">
        <v>4716.6499999999996</v>
      </c>
      <c r="AY5" s="2">
        <v>1.2576656528688033</v>
      </c>
      <c r="AZ5" s="2">
        <v>-8.5050217498428005E-4</v>
      </c>
      <c r="BA5" s="2">
        <v>1.7186023608502977E-6</v>
      </c>
      <c r="BB5" s="2">
        <v>-6.3194650974621094E-4</v>
      </c>
      <c r="BC5" s="2">
        <v>-2.2689567529307868</v>
      </c>
      <c r="BD5" s="2">
        <v>3.895307906533995E-2</v>
      </c>
      <c r="BF5" s="2" t="s">
        <v>40</v>
      </c>
      <c r="BG5" s="2" t="s">
        <v>95</v>
      </c>
      <c r="BH5" s="2">
        <v>5</v>
      </c>
    </row>
    <row r="6" spans="1:60" x14ac:dyDescent="0.2">
      <c r="A6" s="2" t="s">
        <v>128</v>
      </c>
      <c r="B6" s="2"/>
      <c r="C6" s="7">
        <v>45958</v>
      </c>
      <c r="E6" s="2">
        <v>21000</v>
      </c>
      <c r="F6" s="2" t="s">
        <v>342</v>
      </c>
      <c r="G6" s="2">
        <v>3749.2</v>
      </c>
      <c r="H6" s="2">
        <v>49.799999999999727</v>
      </c>
      <c r="I6" s="2">
        <v>75</v>
      </c>
      <c r="J6" s="8">
        <v>45929.565625000003</v>
      </c>
      <c r="K6" s="2">
        <v>6600</v>
      </c>
      <c r="L6" s="2">
        <v>8250</v>
      </c>
      <c r="M6" s="2">
        <v>3752.89</v>
      </c>
      <c r="N6" s="2">
        <v>3779.2</v>
      </c>
      <c r="O6" s="2">
        <v>3836.85</v>
      </c>
      <c r="P6" s="2">
        <v>3655.85</v>
      </c>
      <c r="Q6" s="2">
        <v>3749.15</v>
      </c>
      <c r="R6" s="2">
        <v>3759.75</v>
      </c>
      <c r="S6" s="2">
        <v>3699.4</v>
      </c>
      <c r="T6" s="2">
        <v>38325</v>
      </c>
      <c r="U6" s="2">
        <v>2854</v>
      </c>
      <c r="V6" s="2">
        <v>-416</v>
      </c>
      <c r="W6" s="2">
        <v>3716.25</v>
      </c>
      <c r="X6" s="2">
        <v>32.949999999999818</v>
      </c>
      <c r="Y6" s="2">
        <v>1.6410552634452831</v>
      </c>
      <c r="Z6" s="2">
        <v>0.9696656908927862</v>
      </c>
      <c r="AA6" s="2">
        <v>3.1170416746999108E-5</v>
      </c>
      <c r="AB6" s="2">
        <v>0.5964295836299055</v>
      </c>
      <c r="AC6" s="2">
        <v>-75.786558545180284</v>
      </c>
      <c r="AD6" s="2">
        <v>0.9218643133507034</v>
      </c>
      <c r="AE6" s="2">
        <v>21000</v>
      </c>
      <c r="AF6" s="2" t="s">
        <v>343</v>
      </c>
      <c r="AG6" s="2">
        <v>0.4</v>
      </c>
      <c r="AH6" s="2">
        <v>-0.25</v>
      </c>
      <c r="AI6" s="2">
        <v>75</v>
      </c>
      <c r="AJ6" s="8">
        <v>45929.568923611114</v>
      </c>
      <c r="AK6" s="2">
        <v>6888450</v>
      </c>
      <c r="AL6" s="2">
        <v>1527525</v>
      </c>
      <c r="AM6" s="2">
        <v>0.56000000000000005</v>
      </c>
      <c r="AN6" s="2">
        <v>0.55000000000000004</v>
      </c>
      <c r="AO6" s="2">
        <v>0.7</v>
      </c>
      <c r="AP6" s="2">
        <v>0.35</v>
      </c>
      <c r="AQ6" s="2">
        <v>0.35</v>
      </c>
      <c r="AR6" s="2">
        <v>0.4</v>
      </c>
      <c r="AS6" s="2">
        <v>0.65</v>
      </c>
      <c r="AT6" s="2">
        <v>3401325</v>
      </c>
      <c r="AU6" s="2">
        <v>14106</v>
      </c>
      <c r="AV6" s="2">
        <v>-293</v>
      </c>
      <c r="AW6" s="2">
        <v>-3716.25</v>
      </c>
      <c r="AX6" s="2">
        <v>3716.65</v>
      </c>
      <c r="AY6" s="2">
        <v>0.98747144795681097</v>
      </c>
      <c r="AZ6" s="2">
        <v>-1.0693232676142195E-3</v>
      </c>
      <c r="BA6" s="2">
        <v>2.70104996763745E-6</v>
      </c>
      <c r="BB6" s="2">
        <v>-7.9150054444239502E-4</v>
      </c>
      <c r="BC6" s="2">
        <v>-2.1967124449957054</v>
      </c>
      <c r="BD6" s="2">
        <v>4.8068254679245935E-2</v>
      </c>
      <c r="BF6" s="2" t="s">
        <v>41</v>
      </c>
      <c r="BG6" s="2" t="s">
        <v>96</v>
      </c>
      <c r="BH6" s="2">
        <v>6</v>
      </c>
    </row>
    <row r="7" spans="1:60" x14ac:dyDescent="0.2">
      <c r="A7" s="2" t="s">
        <v>129</v>
      </c>
      <c r="B7" s="2"/>
      <c r="C7" s="7">
        <v>45965</v>
      </c>
      <c r="E7" s="2">
        <v>22000</v>
      </c>
      <c r="F7" s="2" t="s">
        <v>342</v>
      </c>
      <c r="G7" s="2">
        <v>2748</v>
      </c>
      <c r="H7" s="2">
        <v>59.699999999999818</v>
      </c>
      <c r="I7" s="2">
        <v>75</v>
      </c>
      <c r="J7" s="8">
        <v>45929.568425925929</v>
      </c>
      <c r="K7" s="2">
        <v>11775</v>
      </c>
      <c r="L7" s="2">
        <v>10575</v>
      </c>
      <c r="M7" s="2">
        <v>2762.99</v>
      </c>
      <c r="N7" s="2">
        <v>2750</v>
      </c>
      <c r="O7" s="2">
        <v>2848.85</v>
      </c>
      <c r="P7" s="2">
        <v>2651</v>
      </c>
      <c r="Q7" s="2">
        <v>2748.75</v>
      </c>
      <c r="R7" s="2">
        <v>2755.85</v>
      </c>
      <c r="S7" s="2">
        <v>2688.3</v>
      </c>
      <c r="T7" s="2">
        <v>45375</v>
      </c>
      <c r="U7" s="2">
        <v>1681</v>
      </c>
      <c r="V7" s="2">
        <v>-363</v>
      </c>
      <c r="W7" s="2">
        <v>2716.25</v>
      </c>
      <c r="X7" s="2">
        <v>31.75</v>
      </c>
      <c r="Y7" s="2">
        <v>1.2290174291130784</v>
      </c>
      <c r="Z7" s="2">
        <v>0.9626085446961441</v>
      </c>
      <c r="AA7" s="2">
        <v>4.943731957154549E-5</v>
      </c>
      <c r="AB7" s="2">
        <v>0.62082029276186224</v>
      </c>
      <c r="AC7" s="2">
        <v>-68.255898633519166</v>
      </c>
      <c r="AD7" s="2">
        <v>1.0950002336507725</v>
      </c>
      <c r="AE7" s="2">
        <v>22000</v>
      </c>
      <c r="AF7" s="2" t="s">
        <v>343</v>
      </c>
      <c r="AG7" s="2">
        <v>0.45</v>
      </c>
      <c r="AH7" s="2">
        <v>-0.35000000000000003</v>
      </c>
      <c r="AI7" s="2">
        <v>75</v>
      </c>
      <c r="AJ7" s="8">
        <v>45929.568969907406</v>
      </c>
      <c r="AK7" s="2">
        <v>7339425</v>
      </c>
      <c r="AL7" s="2">
        <v>2044875</v>
      </c>
      <c r="AM7" s="2">
        <v>0.6</v>
      </c>
      <c r="AN7" s="2">
        <v>0.65</v>
      </c>
      <c r="AO7" s="2">
        <v>0.85</v>
      </c>
      <c r="AP7" s="2">
        <v>0.4</v>
      </c>
      <c r="AQ7" s="2">
        <v>0.4</v>
      </c>
      <c r="AR7" s="2">
        <v>0.45</v>
      </c>
      <c r="AS7" s="2">
        <v>0.8</v>
      </c>
      <c r="AT7" s="2">
        <v>8224650</v>
      </c>
      <c r="AU7" s="2">
        <v>43894</v>
      </c>
      <c r="AV7" s="2">
        <v>678</v>
      </c>
      <c r="AW7" s="2">
        <v>-2716.25</v>
      </c>
      <c r="AX7" s="2">
        <v>2716.7</v>
      </c>
      <c r="AY7" s="2">
        <v>0.73289308748292359</v>
      </c>
      <c r="AZ7" s="2">
        <v>-1.5791641595779282E-3</v>
      </c>
      <c r="BA7" s="2">
        <v>5.1977995417805827E-6</v>
      </c>
      <c r="BB7" s="2">
        <v>-1.1647276927964783E-3</v>
      </c>
      <c r="BC7" s="2">
        <v>-2.3255611111689354</v>
      </c>
      <c r="BD7" s="2">
        <v>6.8653295680174128E-2</v>
      </c>
      <c r="BF7" s="2" t="s">
        <v>42</v>
      </c>
      <c r="BG7" s="2" t="s">
        <v>97</v>
      </c>
      <c r="BH7" s="2">
        <v>7</v>
      </c>
    </row>
    <row r="8" spans="1:60" x14ac:dyDescent="0.2">
      <c r="A8" s="2" t="s">
        <v>130</v>
      </c>
      <c r="B8" s="2"/>
      <c r="C8" s="7">
        <v>45986</v>
      </c>
      <c r="E8" s="2">
        <v>22600</v>
      </c>
      <c r="F8" s="2" t="s">
        <v>342</v>
      </c>
      <c r="G8" s="2">
        <v>2101.3000000000002</v>
      </c>
      <c r="H8" s="2">
        <v>-712.25</v>
      </c>
      <c r="I8" s="2">
        <v>75</v>
      </c>
      <c r="J8" s="8">
        <v>45929.506736111114</v>
      </c>
      <c r="K8" s="2">
        <v>8400</v>
      </c>
      <c r="L8" s="2">
        <v>10050</v>
      </c>
      <c r="M8" s="2">
        <v>2147.81</v>
      </c>
      <c r="N8" s="2">
        <v>2220</v>
      </c>
      <c r="O8" s="2">
        <v>2220</v>
      </c>
      <c r="P8" s="2">
        <v>2101.3000000000002</v>
      </c>
      <c r="Q8" s="2">
        <v>2147.65</v>
      </c>
      <c r="R8" s="2">
        <v>2160.75</v>
      </c>
      <c r="S8" s="2">
        <v>2813.55</v>
      </c>
      <c r="T8" s="2">
        <v>900</v>
      </c>
      <c r="U8" s="2">
        <v>30</v>
      </c>
      <c r="V8" s="2">
        <v>-7</v>
      </c>
      <c r="W8" s="2">
        <v>2116.25</v>
      </c>
      <c r="X8" s="2">
        <v>-14.949999999999818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22600</v>
      </c>
      <c r="AF8" s="2" t="s">
        <v>343</v>
      </c>
      <c r="AG8" s="2">
        <v>0.65</v>
      </c>
      <c r="AH8" s="2">
        <v>-0.70000000000000007</v>
      </c>
      <c r="AI8" s="2">
        <v>525</v>
      </c>
      <c r="AJ8" s="8">
        <v>45929.568865740737</v>
      </c>
      <c r="AK8" s="2">
        <v>6495525</v>
      </c>
      <c r="AL8" s="2">
        <v>2755575</v>
      </c>
      <c r="AM8" s="2">
        <v>0.99</v>
      </c>
      <c r="AN8" s="2">
        <v>0.95</v>
      </c>
      <c r="AO8" s="2">
        <v>1.4</v>
      </c>
      <c r="AP8" s="2">
        <v>0.65</v>
      </c>
      <c r="AQ8" s="2">
        <v>0.65</v>
      </c>
      <c r="AR8" s="2">
        <v>0.7</v>
      </c>
      <c r="AS8" s="2">
        <v>1.35</v>
      </c>
      <c r="AT8" s="2">
        <v>10139400</v>
      </c>
      <c r="AU8" s="2">
        <v>32052</v>
      </c>
      <c r="AV8" s="2">
        <v>11184</v>
      </c>
      <c r="AW8" s="2">
        <v>-2116.25</v>
      </c>
      <c r="AX8" s="2">
        <v>2116.9</v>
      </c>
      <c r="AY8" s="2">
        <v>0.59739945096209113</v>
      </c>
      <c r="AZ8" s="2">
        <v>-2.6850917928670226E-3</v>
      </c>
      <c r="BA8" s="2">
        <v>1.032227325574015E-5</v>
      </c>
      <c r="BB8" s="2">
        <v>-1.9770182295238406E-3</v>
      </c>
      <c r="BC8" s="2">
        <v>-3.0644533751964338</v>
      </c>
      <c r="BD8" s="2">
        <v>0.11113257802572984</v>
      </c>
      <c r="BF8" s="2" t="s">
        <v>43</v>
      </c>
      <c r="BG8" s="2" t="s">
        <v>98</v>
      </c>
      <c r="BH8" s="2">
        <v>8</v>
      </c>
    </row>
    <row r="9" spans="1:60" x14ac:dyDescent="0.2">
      <c r="A9" s="2" t="s">
        <v>131</v>
      </c>
      <c r="B9" s="2"/>
      <c r="C9" s="7">
        <v>46021</v>
      </c>
      <c r="E9" s="2">
        <v>22650</v>
      </c>
      <c r="F9" s="2" t="s">
        <v>342</v>
      </c>
      <c r="G9" s="2">
        <v>2169.5</v>
      </c>
      <c r="H9" s="2">
        <v>0</v>
      </c>
      <c r="I9" s="2">
        <v>75</v>
      </c>
      <c r="J9" s="8">
        <v>45904.635949074072</v>
      </c>
      <c r="K9" s="2">
        <v>9150</v>
      </c>
      <c r="L9" s="2">
        <v>7050</v>
      </c>
      <c r="M9" s="2">
        <v>0</v>
      </c>
      <c r="N9" s="2">
        <v>0</v>
      </c>
      <c r="O9" s="2">
        <v>0</v>
      </c>
      <c r="P9" s="2">
        <v>0</v>
      </c>
      <c r="Q9" s="2">
        <v>2083.85</v>
      </c>
      <c r="R9" s="2">
        <v>2144.0500000000002</v>
      </c>
      <c r="S9" s="2">
        <v>2169.5</v>
      </c>
      <c r="T9" s="2">
        <v>0</v>
      </c>
      <c r="U9" s="2">
        <v>1</v>
      </c>
      <c r="V9" s="2">
        <v>0</v>
      </c>
      <c r="W9" s="2">
        <v>2066.25</v>
      </c>
      <c r="X9" s="2">
        <v>103.25</v>
      </c>
      <c r="Y9" s="2">
        <v>1.3428724818565152</v>
      </c>
      <c r="Z9" s="2">
        <v>0.89203776585910743</v>
      </c>
      <c r="AA9" s="2">
        <v>1.0291230387657724E-4</v>
      </c>
      <c r="AB9" s="2">
        <v>0.58642961682317296</v>
      </c>
      <c r="AC9" s="2">
        <v>-160.74886812750484</v>
      </c>
      <c r="AD9" s="2">
        <v>2.4905958937600894</v>
      </c>
      <c r="AE9" s="2">
        <v>22650</v>
      </c>
      <c r="AF9" s="2" t="s">
        <v>343</v>
      </c>
      <c r="AG9" s="2">
        <v>0.8</v>
      </c>
      <c r="AH9" s="2">
        <v>-0.5</v>
      </c>
      <c r="AI9" s="2">
        <v>300</v>
      </c>
      <c r="AJ9" s="8">
        <v>45929.56890046296</v>
      </c>
      <c r="AK9" s="2">
        <v>4660650</v>
      </c>
      <c r="AL9" s="2">
        <v>492300</v>
      </c>
      <c r="AM9" s="2">
        <v>1.0900000000000001</v>
      </c>
      <c r="AN9" s="2">
        <v>1.2</v>
      </c>
      <c r="AO9" s="2">
        <v>1.5</v>
      </c>
      <c r="AP9" s="2">
        <v>0.8</v>
      </c>
      <c r="AQ9" s="2">
        <v>0.8</v>
      </c>
      <c r="AR9" s="2">
        <v>0.85</v>
      </c>
      <c r="AS9" s="2">
        <v>1.3</v>
      </c>
      <c r="AT9" s="2">
        <v>3126825</v>
      </c>
      <c r="AU9" s="2">
        <v>3135</v>
      </c>
      <c r="AV9" s="2">
        <v>1161</v>
      </c>
      <c r="AW9" s="2">
        <v>-2066.25</v>
      </c>
      <c r="AX9" s="2">
        <v>2067.0500000000002</v>
      </c>
      <c r="AY9" s="2">
        <v>0.59629599878222195</v>
      </c>
      <c r="AZ9" s="2">
        <v>-3.2561660226564371E-3</v>
      </c>
      <c r="BA9" s="2">
        <v>1.2304252635478348E-5</v>
      </c>
      <c r="BB9" s="2">
        <v>-2.3978442444523955E-3</v>
      </c>
      <c r="BC9" s="2">
        <v>-3.6389135337150678</v>
      </c>
      <c r="BD9" s="2">
        <v>0.13222647719237451</v>
      </c>
      <c r="BF9" s="2" t="s">
        <v>44</v>
      </c>
      <c r="BG9" s="2" t="s">
        <v>99</v>
      </c>
      <c r="BH9" s="2">
        <v>9</v>
      </c>
    </row>
    <row r="10" spans="1:60" x14ac:dyDescent="0.2">
      <c r="A10" s="2" t="s">
        <v>132</v>
      </c>
      <c r="B10" s="2"/>
      <c r="C10" s="7">
        <v>46112</v>
      </c>
      <c r="E10" s="2">
        <v>22700</v>
      </c>
      <c r="F10" s="2" t="s">
        <v>342</v>
      </c>
      <c r="G10" s="2">
        <v>1984</v>
      </c>
      <c r="H10" s="2">
        <v>-396</v>
      </c>
      <c r="I10" s="2">
        <v>75</v>
      </c>
      <c r="J10" s="8">
        <v>45929.535624999997</v>
      </c>
      <c r="K10" s="2">
        <v>9075</v>
      </c>
      <c r="L10" s="2">
        <v>7200</v>
      </c>
      <c r="M10" s="2">
        <v>1996.8</v>
      </c>
      <c r="N10" s="2">
        <v>1995</v>
      </c>
      <c r="O10" s="2">
        <v>2005</v>
      </c>
      <c r="P10" s="2">
        <v>1984</v>
      </c>
      <c r="Q10" s="2">
        <v>2041.3</v>
      </c>
      <c r="R10" s="2">
        <v>2094.5</v>
      </c>
      <c r="S10" s="2">
        <v>2380</v>
      </c>
      <c r="T10" s="2">
        <v>375</v>
      </c>
      <c r="U10" s="2">
        <v>1</v>
      </c>
      <c r="V10" s="2">
        <v>-4</v>
      </c>
      <c r="W10" s="2">
        <v>2016.25</v>
      </c>
      <c r="X10" s="2">
        <v>-32.25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22700</v>
      </c>
      <c r="AF10" s="2" t="s">
        <v>343</v>
      </c>
      <c r="AG10" s="2">
        <v>0.85</v>
      </c>
      <c r="AH10" s="2">
        <v>-0.50000000000000011</v>
      </c>
      <c r="AI10" s="2">
        <v>75</v>
      </c>
      <c r="AJ10" s="8">
        <v>45929.568888888891</v>
      </c>
      <c r="AK10" s="2">
        <v>4981800</v>
      </c>
      <c r="AL10" s="2">
        <v>1620675</v>
      </c>
      <c r="AM10" s="2">
        <v>1.1599999999999999</v>
      </c>
      <c r="AN10" s="2">
        <v>0.9</v>
      </c>
      <c r="AO10" s="2">
        <v>1.5</v>
      </c>
      <c r="AP10" s="2">
        <v>0.8</v>
      </c>
      <c r="AQ10" s="2">
        <v>0.85</v>
      </c>
      <c r="AR10" s="2">
        <v>0.9</v>
      </c>
      <c r="AS10" s="2">
        <v>1.35</v>
      </c>
      <c r="AT10" s="2">
        <v>6667575</v>
      </c>
      <c r="AU10" s="2">
        <v>15539</v>
      </c>
      <c r="AV10" s="2">
        <v>-23</v>
      </c>
      <c r="AW10" s="2">
        <v>-2016.25</v>
      </c>
      <c r="AX10" s="2">
        <v>2017.1</v>
      </c>
      <c r="AY10" s="2">
        <v>0.58635484422798678</v>
      </c>
      <c r="AZ10" s="2">
        <v>-3.4967803631941186E-3</v>
      </c>
      <c r="BA10" s="2">
        <v>1.3340890104235748E-5</v>
      </c>
      <c r="BB10" s="2">
        <v>-2.5747638648475741E-3</v>
      </c>
      <c r="BC10" s="2">
        <v>-3.81446993624176</v>
      </c>
      <c r="BD10" s="2">
        <v>0.14097645887412946</v>
      </c>
      <c r="BF10" s="2" t="s">
        <v>45</v>
      </c>
      <c r="BG10" s="2" t="s">
        <v>24</v>
      </c>
      <c r="BH10" s="2">
        <v>10</v>
      </c>
    </row>
    <row r="11" spans="1:60" x14ac:dyDescent="0.2">
      <c r="A11" s="2" t="s">
        <v>133</v>
      </c>
      <c r="B11" s="2"/>
      <c r="C11" s="7">
        <v>46203</v>
      </c>
      <c r="E11" s="2">
        <v>22750</v>
      </c>
      <c r="F11" s="2" t="s">
        <v>342</v>
      </c>
      <c r="G11" s="2">
        <v>2065.9499999999998</v>
      </c>
      <c r="H11" s="2">
        <v>0</v>
      </c>
      <c r="I11" s="2">
        <v>75</v>
      </c>
      <c r="J11" s="8">
        <v>45904.635115740741</v>
      </c>
      <c r="K11" s="2">
        <v>9150</v>
      </c>
      <c r="L11" s="2">
        <v>7050</v>
      </c>
      <c r="M11" s="2">
        <v>0</v>
      </c>
      <c r="N11" s="2">
        <v>0</v>
      </c>
      <c r="O11" s="2">
        <v>0</v>
      </c>
      <c r="P11" s="2">
        <v>0</v>
      </c>
      <c r="Q11" s="2">
        <v>1983</v>
      </c>
      <c r="R11" s="2">
        <v>2032</v>
      </c>
      <c r="S11" s="2">
        <v>2065.9499999999998</v>
      </c>
      <c r="T11" s="2">
        <v>0</v>
      </c>
      <c r="U11" s="2">
        <v>1</v>
      </c>
      <c r="V11" s="2">
        <v>0</v>
      </c>
      <c r="W11" s="2">
        <v>1966.25</v>
      </c>
      <c r="X11" s="2">
        <v>99.699999999999818</v>
      </c>
      <c r="Y11" s="2">
        <v>1.2796171274520187</v>
      </c>
      <c r="Z11" s="2">
        <v>0.89097017600599671</v>
      </c>
      <c r="AA11" s="2">
        <v>1.0876680732052874E-4</v>
      </c>
      <c r="AB11" s="2">
        <v>0.58870618795512752</v>
      </c>
      <c r="AC11" s="2">
        <v>-154.50585995580397</v>
      </c>
      <c r="AD11" s="2">
        <v>2.5082900379148296</v>
      </c>
      <c r="AE11" s="2">
        <v>22750</v>
      </c>
      <c r="AF11" s="2" t="s">
        <v>343</v>
      </c>
      <c r="AG11" s="2">
        <v>0.85</v>
      </c>
      <c r="AH11" s="2">
        <v>-0.45000000000000007</v>
      </c>
      <c r="AI11" s="2">
        <v>150</v>
      </c>
      <c r="AJ11" s="8">
        <v>45929.568761574075</v>
      </c>
      <c r="AK11" s="2">
        <v>4129725</v>
      </c>
      <c r="AL11" s="2">
        <v>358200</v>
      </c>
      <c r="AM11" s="2">
        <v>1.18</v>
      </c>
      <c r="AN11" s="2">
        <v>1.3</v>
      </c>
      <c r="AO11" s="2">
        <v>1.8</v>
      </c>
      <c r="AP11" s="2">
        <v>0.8</v>
      </c>
      <c r="AQ11" s="2">
        <v>0.85</v>
      </c>
      <c r="AR11" s="2">
        <v>0.9</v>
      </c>
      <c r="AS11" s="2">
        <v>1.3</v>
      </c>
      <c r="AT11" s="2">
        <v>3748425</v>
      </c>
      <c r="AU11" s="2">
        <v>1838</v>
      </c>
      <c r="AV11" s="2">
        <v>67</v>
      </c>
      <c r="AW11" s="2">
        <v>-1966.25</v>
      </c>
      <c r="AX11" s="2">
        <v>1967.1</v>
      </c>
      <c r="AY11" s="2">
        <v>0.57271985824252758</v>
      </c>
      <c r="AZ11" s="2">
        <v>-3.5738491281954721E-3</v>
      </c>
      <c r="BA11" s="2">
        <v>1.3928497257316115E-5</v>
      </c>
      <c r="BB11" s="2">
        <v>-2.6309582720086344E-3</v>
      </c>
      <c r="BC11" s="2">
        <v>-3.79880199377161</v>
      </c>
      <c r="BD11" s="2">
        <v>0.1437631873448795</v>
      </c>
      <c r="BF11" s="2" t="s">
        <v>46</v>
      </c>
      <c r="BG11" s="2" t="s">
        <v>25</v>
      </c>
      <c r="BH11" s="2">
        <v>11</v>
      </c>
    </row>
    <row r="12" spans="1:60" x14ac:dyDescent="0.2">
      <c r="A12" s="2" t="s">
        <v>134</v>
      </c>
      <c r="B12" s="2"/>
      <c r="C12" s="7">
        <v>46385</v>
      </c>
      <c r="E12" s="2">
        <v>22800</v>
      </c>
      <c r="F12" s="2" t="s">
        <v>342</v>
      </c>
      <c r="G12" s="2">
        <v>1925</v>
      </c>
      <c r="H12" s="2">
        <v>35.849999999999909</v>
      </c>
      <c r="I12" s="2">
        <v>75</v>
      </c>
      <c r="J12" s="8">
        <v>45929.560254629629</v>
      </c>
      <c r="K12" s="2">
        <v>11625</v>
      </c>
      <c r="L12" s="2">
        <v>10200</v>
      </c>
      <c r="M12" s="2">
        <v>1994.34</v>
      </c>
      <c r="N12" s="2">
        <v>1950</v>
      </c>
      <c r="O12" s="2">
        <v>2045</v>
      </c>
      <c r="P12" s="2">
        <v>1864</v>
      </c>
      <c r="Q12" s="2">
        <v>1949.85</v>
      </c>
      <c r="R12" s="2">
        <v>1958.55</v>
      </c>
      <c r="S12" s="2">
        <v>1889.15</v>
      </c>
      <c r="T12" s="2">
        <v>64425</v>
      </c>
      <c r="U12" s="2">
        <v>252</v>
      </c>
      <c r="V12" s="2">
        <v>-553</v>
      </c>
      <c r="W12" s="2">
        <v>1916.25</v>
      </c>
      <c r="X12" s="2">
        <v>8.75</v>
      </c>
      <c r="Y12" s="2">
        <v>0.61586613640761056</v>
      </c>
      <c r="Z12" s="2">
        <v>0.99261696791559884</v>
      </c>
      <c r="AA12" s="2">
        <v>2.4703788122404036E-5</v>
      </c>
      <c r="AB12" s="2">
        <v>0.66698031207724073</v>
      </c>
      <c r="AC12" s="2">
        <v>-14.035310582188041</v>
      </c>
      <c r="AD12" s="2">
        <v>0.27418969785464237</v>
      </c>
      <c r="AE12" s="2">
        <v>22800</v>
      </c>
      <c r="AF12" s="2" t="s">
        <v>343</v>
      </c>
      <c r="AG12" s="2">
        <v>0.9</v>
      </c>
      <c r="AH12" s="2">
        <v>-0.54999999999999993</v>
      </c>
      <c r="AI12" s="2">
        <v>75</v>
      </c>
      <c r="AJ12" s="8">
        <v>45929.568888888891</v>
      </c>
      <c r="AK12" s="2">
        <v>4804800</v>
      </c>
      <c r="AL12" s="2">
        <v>1190250</v>
      </c>
      <c r="AM12" s="2">
        <v>1.19</v>
      </c>
      <c r="AN12" s="2">
        <v>1.05</v>
      </c>
      <c r="AO12" s="2">
        <v>1.55</v>
      </c>
      <c r="AP12" s="2">
        <v>0.85</v>
      </c>
      <c r="AQ12" s="2">
        <v>0.9</v>
      </c>
      <c r="AR12" s="2">
        <v>0.95</v>
      </c>
      <c r="AS12" s="2">
        <v>1.45</v>
      </c>
      <c r="AT12" s="2">
        <v>8890950</v>
      </c>
      <c r="AU12" s="2">
        <v>15842</v>
      </c>
      <c r="AV12" s="2">
        <v>712</v>
      </c>
      <c r="AW12" s="2">
        <v>-1916.25</v>
      </c>
      <c r="AX12" s="2">
        <v>1917.15</v>
      </c>
      <c r="AY12" s="2">
        <v>0.56242436199099066</v>
      </c>
      <c r="AZ12" s="2">
        <v>-3.83009598309203E-3</v>
      </c>
      <c r="BA12" s="2">
        <v>1.5092396975139983E-5</v>
      </c>
      <c r="BB12" s="2">
        <v>-2.8192770765362207E-3</v>
      </c>
      <c r="BC12" s="2">
        <v>-3.9689278772860273</v>
      </c>
      <c r="BD12" s="2">
        <v>0.15297611508011158</v>
      </c>
      <c r="BF12" s="2" t="s">
        <v>47</v>
      </c>
      <c r="BG12" s="2" t="s">
        <v>26</v>
      </c>
      <c r="BH12" s="2">
        <v>12</v>
      </c>
    </row>
    <row r="13" spans="1:60" x14ac:dyDescent="0.2">
      <c r="A13" s="2" t="s">
        <v>135</v>
      </c>
      <c r="B13" s="2"/>
      <c r="C13" s="7">
        <v>46567</v>
      </c>
      <c r="E13" s="2">
        <v>22850</v>
      </c>
      <c r="F13" s="2" t="s">
        <v>342</v>
      </c>
      <c r="G13" s="2">
        <v>2011.6</v>
      </c>
      <c r="H13" s="2">
        <v>0</v>
      </c>
      <c r="I13" s="2">
        <v>75</v>
      </c>
      <c r="J13" s="8">
        <v>45905.642534722225</v>
      </c>
      <c r="K13" s="2">
        <v>9750</v>
      </c>
      <c r="L13" s="2">
        <v>7050</v>
      </c>
      <c r="M13" s="2">
        <v>0</v>
      </c>
      <c r="N13" s="2">
        <v>0</v>
      </c>
      <c r="O13" s="2">
        <v>0</v>
      </c>
      <c r="P13" s="2">
        <v>0</v>
      </c>
      <c r="Q13" s="2">
        <v>1885</v>
      </c>
      <c r="R13" s="2">
        <v>1939.65</v>
      </c>
      <c r="S13" s="2">
        <v>2011.6</v>
      </c>
      <c r="T13" s="2">
        <v>0</v>
      </c>
      <c r="U13" s="2">
        <v>2</v>
      </c>
      <c r="V13" s="2">
        <v>0</v>
      </c>
      <c r="W13" s="2">
        <v>1866.25</v>
      </c>
      <c r="X13" s="2">
        <v>145.34999999999991</v>
      </c>
      <c r="Y13" s="2">
        <v>1.3942464326691737</v>
      </c>
      <c r="Z13" s="2">
        <v>0.85959272670452069</v>
      </c>
      <c r="AA13" s="2">
        <v>1.1915067656006671E-4</v>
      </c>
      <c r="AB13" s="2">
        <v>0.56743042246757758</v>
      </c>
      <c r="AC13" s="2">
        <v>-199.09828984652847</v>
      </c>
      <c r="AD13" s="2">
        <v>2.9938997036854693</v>
      </c>
      <c r="AE13" s="2">
        <v>22850</v>
      </c>
      <c r="AF13" s="2" t="s">
        <v>343</v>
      </c>
      <c r="AG13" s="2">
        <v>0.95</v>
      </c>
      <c r="AH13" s="2">
        <v>-0.5</v>
      </c>
      <c r="AI13" s="2">
        <v>900</v>
      </c>
      <c r="AJ13" s="8">
        <v>45929.568923611114</v>
      </c>
      <c r="AK13" s="2">
        <v>2811675</v>
      </c>
      <c r="AL13" s="2">
        <v>263250</v>
      </c>
      <c r="AM13" s="2">
        <v>1.25</v>
      </c>
      <c r="AN13" s="2">
        <v>1.3</v>
      </c>
      <c r="AO13" s="2">
        <v>1.65</v>
      </c>
      <c r="AP13" s="2">
        <v>0.9</v>
      </c>
      <c r="AQ13" s="2">
        <v>0.95</v>
      </c>
      <c r="AR13" s="2">
        <v>1</v>
      </c>
      <c r="AS13" s="2">
        <v>1.45</v>
      </c>
      <c r="AT13" s="2">
        <v>3614775</v>
      </c>
      <c r="AU13" s="2">
        <v>1700</v>
      </c>
      <c r="AV13" s="2">
        <v>765</v>
      </c>
      <c r="AW13" s="2">
        <v>-1866.25</v>
      </c>
      <c r="AX13" s="2">
        <v>1867.2</v>
      </c>
      <c r="AY13" s="2">
        <v>0.55186398894226596</v>
      </c>
      <c r="AZ13" s="2">
        <v>-4.0959059353170568E-3</v>
      </c>
      <c r="BA13" s="2">
        <v>1.6333879882414701E-5</v>
      </c>
      <c r="BB13" s="2">
        <v>-3.0145683693467342E-3</v>
      </c>
      <c r="BC13" s="2">
        <v>-4.1349019690121507</v>
      </c>
      <c r="BD13" s="2">
        <v>0.16245112064014436</v>
      </c>
      <c r="BF13" s="2" t="s">
        <v>48</v>
      </c>
      <c r="BG13" s="2" t="s">
        <v>100</v>
      </c>
      <c r="BH13" s="2">
        <v>13</v>
      </c>
    </row>
    <row r="14" spans="1:60" x14ac:dyDescent="0.2">
      <c r="A14" s="2" t="s">
        <v>136</v>
      </c>
      <c r="B14" s="2"/>
      <c r="C14" s="7">
        <v>46749</v>
      </c>
      <c r="E14" s="2">
        <v>22900</v>
      </c>
      <c r="F14" s="2" t="s">
        <v>342</v>
      </c>
      <c r="G14" s="2">
        <v>2232</v>
      </c>
      <c r="H14" s="2">
        <v>0</v>
      </c>
      <c r="I14" s="2">
        <v>975</v>
      </c>
      <c r="J14" s="8">
        <v>45924.620613425926</v>
      </c>
      <c r="K14" s="2">
        <v>9150</v>
      </c>
      <c r="L14" s="2">
        <v>7350</v>
      </c>
      <c r="M14" s="2">
        <v>0</v>
      </c>
      <c r="N14" s="2">
        <v>0</v>
      </c>
      <c r="O14" s="2">
        <v>0</v>
      </c>
      <c r="P14" s="2">
        <v>0</v>
      </c>
      <c r="Q14" s="2">
        <v>1834.25</v>
      </c>
      <c r="R14" s="2">
        <v>1886.6</v>
      </c>
      <c r="S14" s="2">
        <v>2232</v>
      </c>
      <c r="T14" s="2">
        <v>0</v>
      </c>
      <c r="U14" s="2">
        <v>10</v>
      </c>
      <c r="V14" s="2">
        <v>0</v>
      </c>
      <c r="W14" s="2">
        <v>1816.25</v>
      </c>
      <c r="X14" s="2">
        <v>415.75</v>
      </c>
      <c r="Y14" s="2">
        <v>2.1068326612267589</v>
      </c>
      <c r="Z14" s="2">
        <v>0.7663179653913732</v>
      </c>
      <c r="AA14" s="2">
        <v>1.0831334232827336E-4</v>
      </c>
      <c r="AB14" s="2">
        <v>0.49291690074515104</v>
      </c>
      <c r="AC14" s="2">
        <v>-406.90945507273545</v>
      </c>
      <c r="AD14" s="2">
        <v>4.1125693841207633</v>
      </c>
      <c r="AE14" s="2">
        <v>22900</v>
      </c>
      <c r="AF14" s="2" t="s">
        <v>343</v>
      </c>
      <c r="AG14" s="2">
        <v>1</v>
      </c>
      <c r="AH14" s="2">
        <v>-0.44999999999999996</v>
      </c>
      <c r="AI14" s="2">
        <v>450</v>
      </c>
      <c r="AJ14" s="8">
        <v>45929.568877314814</v>
      </c>
      <c r="AK14" s="2">
        <v>4482150</v>
      </c>
      <c r="AL14" s="2">
        <v>551175</v>
      </c>
      <c r="AM14" s="2">
        <v>1.3</v>
      </c>
      <c r="AN14" s="2">
        <v>1.45</v>
      </c>
      <c r="AO14" s="2">
        <v>3.85</v>
      </c>
      <c r="AP14" s="2">
        <v>0.95</v>
      </c>
      <c r="AQ14" s="2">
        <v>0.95</v>
      </c>
      <c r="AR14" s="2">
        <v>1</v>
      </c>
      <c r="AS14" s="2">
        <v>1.45</v>
      </c>
      <c r="AT14" s="2">
        <v>5667450</v>
      </c>
      <c r="AU14" s="2">
        <v>5006</v>
      </c>
      <c r="AV14" s="2">
        <v>971</v>
      </c>
      <c r="AW14" s="2">
        <v>-1816.25</v>
      </c>
      <c r="AX14" s="2">
        <v>1817.25</v>
      </c>
      <c r="AY14" s="2">
        <v>0.54105745529461358</v>
      </c>
      <c r="AZ14" s="2">
        <v>-4.3720752429743381E-3</v>
      </c>
      <c r="BA14" s="2">
        <v>1.7661177492435821E-5</v>
      </c>
      <c r="BB14" s="2">
        <v>-3.2174134464475214E-3</v>
      </c>
      <c r="BC14" s="2">
        <v>-4.2967399065055991</v>
      </c>
      <c r="BD14" s="2">
        <v>0.17221238566479696</v>
      </c>
      <c r="BF14" s="2" t="s">
        <v>49</v>
      </c>
      <c r="BG14" s="2" t="s">
        <v>101</v>
      </c>
      <c r="BH14" s="2">
        <v>14</v>
      </c>
    </row>
    <row r="15" spans="1:60" x14ac:dyDescent="0.2">
      <c r="A15" s="2" t="s">
        <v>137</v>
      </c>
      <c r="B15" s="2"/>
      <c r="C15" s="7">
        <v>46931</v>
      </c>
      <c r="E15" s="2">
        <v>22950</v>
      </c>
      <c r="F15" s="2" t="s">
        <v>342</v>
      </c>
      <c r="G15" s="2">
        <v>1911</v>
      </c>
      <c r="H15" s="2">
        <v>0</v>
      </c>
      <c r="I15" s="2">
        <v>75</v>
      </c>
      <c r="J15" s="8">
        <v>45905.642650462964</v>
      </c>
      <c r="K15" s="2">
        <v>9450</v>
      </c>
      <c r="L15" s="2">
        <v>7050</v>
      </c>
      <c r="M15" s="2">
        <v>0</v>
      </c>
      <c r="N15" s="2">
        <v>0</v>
      </c>
      <c r="O15" s="2">
        <v>0</v>
      </c>
      <c r="P15" s="2">
        <v>0</v>
      </c>
      <c r="Q15" s="2">
        <v>1784.5</v>
      </c>
      <c r="R15" s="2">
        <v>1837.05</v>
      </c>
      <c r="S15" s="2">
        <v>1911</v>
      </c>
      <c r="T15" s="2">
        <v>0</v>
      </c>
      <c r="U15" s="2">
        <v>1</v>
      </c>
      <c r="V15" s="2">
        <v>0</v>
      </c>
      <c r="W15" s="2">
        <v>1766.25</v>
      </c>
      <c r="X15" s="2">
        <v>144.75</v>
      </c>
      <c r="Y15" s="2">
        <v>1.3393081568379046</v>
      </c>
      <c r="Z15" s="2">
        <v>0.85534943701796984</v>
      </c>
      <c r="AA15" s="2">
        <v>1.2656121929010251E-4</v>
      </c>
      <c r="AB15" s="2">
        <v>0.56730421123677233</v>
      </c>
      <c r="AC15" s="2">
        <v>-195.24679247862233</v>
      </c>
      <c r="AD15" s="2">
        <v>3.0547970084228386</v>
      </c>
      <c r="AE15" s="2">
        <v>22950</v>
      </c>
      <c r="AF15" s="2" t="s">
        <v>343</v>
      </c>
      <c r="AG15" s="2">
        <v>0.95</v>
      </c>
      <c r="AH15" s="2">
        <v>-0.55000000000000004</v>
      </c>
      <c r="AI15" s="2">
        <v>1050</v>
      </c>
      <c r="AJ15" s="8">
        <v>45929.568865740737</v>
      </c>
      <c r="AK15" s="2">
        <v>579975</v>
      </c>
      <c r="AL15" s="2">
        <v>354750</v>
      </c>
      <c r="AM15" s="2">
        <v>1.28</v>
      </c>
      <c r="AN15" s="2">
        <v>1.3</v>
      </c>
      <c r="AO15" s="2">
        <v>1.65</v>
      </c>
      <c r="AP15" s="2">
        <v>0.95</v>
      </c>
      <c r="AQ15" s="2">
        <v>0.95</v>
      </c>
      <c r="AR15" s="2">
        <v>1</v>
      </c>
      <c r="AS15" s="2">
        <v>1.5</v>
      </c>
      <c r="AT15" s="2">
        <v>2758425</v>
      </c>
      <c r="AU15" s="2">
        <v>2103</v>
      </c>
      <c r="AV15" s="2">
        <v>1561</v>
      </c>
      <c r="AW15" s="2">
        <v>-1766.25</v>
      </c>
      <c r="AX15" s="2">
        <v>1767.2</v>
      </c>
      <c r="AY15" s="2">
        <v>0.52433377402939607</v>
      </c>
      <c r="AZ15" s="2">
        <v>-4.2941951769793762E-3</v>
      </c>
      <c r="BA15" s="2">
        <v>1.7934057554066522E-5</v>
      </c>
      <c r="BB15" s="2">
        <v>-3.1591507790665802E-3</v>
      </c>
      <c r="BC15" s="2">
        <v>-4.0967306137341462</v>
      </c>
      <c r="BD15" s="2">
        <v>0.16946795158505937</v>
      </c>
      <c r="BF15" s="2" t="s">
        <v>50</v>
      </c>
      <c r="BG15" s="2" t="s">
        <v>88</v>
      </c>
      <c r="BH15" s="2">
        <v>15</v>
      </c>
    </row>
    <row r="16" spans="1:60" x14ac:dyDescent="0.2">
      <c r="A16" s="2" t="s">
        <v>138</v>
      </c>
      <c r="B16" s="2"/>
      <c r="C16" s="7">
        <v>47113</v>
      </c>
      <c r="E16" s="2">
        <v>23000</v>
      </c>
      <c r="F16" s="2" t="s">
        <v>342</v>
      </c>
      <c r="G16" s="2">
        <v>1752.15</v>
      </c>
      <c r="H16" s="2">
        <v>59.350000000000136</v>
      </c>
      <c r="I16" s="2">
        <v>75</v>
      </c>
      <c r="J16" s="8">
        <v>45929.568796296298</v>
      </c>
      <c r="K16" s="2">
        <v>17925</v>
      </c>
      <c r="L16" s="2">
        <v>19575</v>
      </c>
      <c r="M16" s="2">
        <v>1744.47</v>
      </c>
      <c r="N16" s="2">
        <v>1750</v>
      </c>
      <c r="O16" s="2">
        <v>1843.35</v>
      </c>
      <c r="P16" s="2">
        <v>1648.85</v>
      </c>
      <c r="Q16" s="2">
        <v>1753.15</v>
      </c>
      <c r="R16" s="2">
        <v>1754.95</v>
      </c>
      <c r="S16" s="2">
        <v>1692.8</v>
      </c>
      <c r="T16" s="2">
        <v>286425</v>
      </c>
      <c r="U16" s="2">
        <v>6015</v>
      </c>
      <c r="V16" s="2">
        <v>-1821</v>
      </c>
      <c r="W16" s="2">
        <v>1716.25</v>
      </c>
      <c r="X16" s="2">
        <v>35.900000000000091</v>
      </c>
      <c r="Y16" s="2">
        <v>0.85889890638827138</v>
      </c>
      <c r="Z16" s="2">
        <v>0.94206111474776211</v>
      </c>
      <c r="AA16" s="2">
        <v>1.005176400501216E-4</v>
      </c>
      <c r="AB16" s="2">
        <v>0.63521657633042938</v>
      </c>
      <c r="AC16" s="2">
        <v>-67.953039616081426</v>
      </c>
      <c r="AD16" s="2">
        <v>1.5559139394951884</v>
      </c>
      <c r="AE16" s="2">
        <v>23000</v>
      </c>
      <c r="AF16" s="2" t="s">
        <v>343</v>
      </c>
      <c r="AG16" s="2">
        <v>1</v>
      </c>
      <c r="AH16" s="2">
        <v>-0.39999999999999991</v>
      </c>
      <c r="AI16" s="2">
        <v>75</v>
      </c>
      <c r="AJ16" s="8">
        <v>45929.569027777776</v>
      </c>
      <c r="AK16" s="2">
        <v>12363000</v>
      </c>
      <c r="AL16" s="2">
        <v>1715100</v>
      </c>
      <c r="AM16" s="2">
        <v>1.26</v>
      </c>
      <c r="AN16" s="2">
        <v>0.8</v>
      </c>
      <c r="AO16" s="2">
        <v>1.7</v>
      </c>
      <c r="AP16" s="2">
        <v>0.8</v>
      </c>
      <c r="AQ16" s="2">
        <v>0.95</v>
      </c>
      <c r="AR16" s="2">
        <v>1</v>
      </c>
      <c r="AS16" s="2">
        <v>1.4</v>
      </c>
      <c r="AT16" s="2">
        <v>23073600</v>
      </c>
      <c r="AU16" s="2">
        <v>66075</v>
      </c>
      <c r="AV16" s="2">
        <v>2360</v>
      </c>
      <c r="AW16" s="2">
        <v>-1716.25</v>
      </c>
      <c r="AX16" s="2">
        <v>1717.25</v>
      </c>
      <c r="AY16" s="2">
        <v>0.51339814780034732</v>
      </c>
      <c r="AZ16" s="2">
        <v>-4.5890024514110284E-3</v>
      </c>
      <c r="BA16" s="2">
        <v>1.9435283194828068E-5</v>
      </c>
      <c r="BB16" s="2">
        <v>-3.3755854426805632E-3</v>
      </c>
      <c r="BC16" s="2">
        <v>-4.2555355958531216</v>
      </c>
      <c r="BD16" s="2">
        <v>0.17982346564013083</v>
      </c>
      <c r="BF16" s="2" t="s">
        <v>51</v>
      </c>
      <c r="BG16" s="2" t="s">
        <v>102</v>
      </c>
      <c r="BH16" s="2">
        <v>16</v>
      </c>
    </row>
    <row r="17" spans="1:60" x14ac:dyDescent="0.2">
      <c r="A17" s="2" t="s">
        <v>139</v>
      </c>
      <c r="B17" s="2"/>
      <c r="C17" s="7">
        <v>47295</v>
      </c>
      <c r="E17" s="2">
        <v>23050</v>
      </c>
      <c r="F17" s="2" t="s">
        <v>342</v>
      </c>
      <c r="G17" s="2">
        <v>1811.95</v>
      </c>
      <c r="H17" s="2">
        <v>0</v>
      </c>
      <c r="I17" s="2">
        <v>75</v>
      </c>
      <c r="J17" s="8">
        <v>45905.642812500002</v>
      </c>
      <c r="K17" s="2">
        <v>9450</v>
      </c>
      <c r="L17" s="2">
        <v>7350</v>
      </c>
      <c r="M17" s="2">
        <v>0</v>
      </c>
      <c r="N17" s="2">
        <v>0</v>
      </c>
      <c r="O17" s="2">
        <v>0</v>
      </c>
      <c r="P17" s="2">
        <v>0</v>
      </c>
      <c r="Q17" s="2">
        <v>1683.65</v>
      </c>
      <c r="R17" s="2">
        <v>1736.35</v>
      </c>
      <c r="S17" s="2">
        <v>1811.95</v>
      </c>
      <c r="T17" s="2">
        <v>0</v>
      </c>
      <c r="U17" s="2">
        <v>1</v>
      </c>
      <c r="V17" s="2">
        <v>0</v>
      </c>
      <c r="W17" s="2">
        <v>1666.25</v>
      </c>
      <c r="X17" s="2">
        <v>145.70000000000005</v>
      </c>
      <c r="Y17" s="2">
        <v>1.2891445083221171</v>
      </c>
      <c r="Z17" s="2">
        <v>0.84990300795789786</v>
      </c>
      <c r="AA17" s="2">
        <v>1.3478349078420917E-4</v>
      </c>
      <c r="AB17" s="2">
        <v>0.56625508735319474</v>
      </c>
      <c r="AC17" s="2">
        <v>-192.70735901689085</v>
      </c>
      <c r="AD17" s="2">
        <v>3.1314073154891422</v>
      </c>
      <c r="AE17" s="2">
        <v>23050</v>
      </c>
      <c r="AF17" s="2" t="s">
        <v>343</v>
      </c>
      <c r="AG17" s="2">
        <v>1.05</v>
      </c>
      <c r="AH17" s="2">
        <v>-0.5</v>
      </c>
      <c r="AI17" s="2">
        <v>150</v>
      </c>
      <c r="AJ17" s="8">
        <v>45929.568888888891</v>
      </c>
      <c r="AK17" s="2">
        <v>4723425</v>
      </c>
      <c r="AL17" s="2">
        <v>397575</v>
      </c>
      <c r="AM17" s="2">
        <v>1.38</v>
      </c>
      <c r="AN17" s="2">
        <v>1</v>
      </c>
      <c r="AO17" s="2">
        <v>1.8</v>
      </c>
      <c r="AP17" s="2">
        <v>0.95</v>
      </c>
      <c r="AQ17" s="2">
        <v>1.05</v>
      </c>
      <c r="AR17" s="2">
        <v>1.1000000000000001</v>
      </c>
      <c r="AS17" s="2">
        <v>1.55</v>
      </c>
      <c r="AT17" s="2">
        <v>4972800</v>
      </c>
      <c r="AU17" s="2">
        <v>2252</v>
      </c>
      <c r="AV17" s="2">
        <v>307</v>
      </c>
      <c r="AW17" s="2">
        <v>-1666.25</v>
      </c>
      <c r="AX17" s="2">
        <v>1667.3</v>
      </c>
      <c r="AY17" s="2">
        <v>0.50223396837086653</v>
      </c>
      <c r="AZ17" s="2">
        <v>-4.8966060128305955E-3</v>
      </c>
      <c r="BA17" s="2">
        <v>2.1050813694901152E-5</v>
      </c>
      <c r="BB17" s="2">
        <v>-3.6013511527467758E-3</v>
      </c>
      <c r="BC17" s="2">
        <v>-4.4100358391652783</v>
      </c>
      <c r="BD17" s="2">
        <v>0.19053564697402472</v>
      </c>
      <c r="BF17" s="2" t="s">
        <v>52</v>
      </c>
      <c r="BG17" s="2" t="s">
        <v>103</v>
      </c>
      <c r="BH17" s="2">
        <v>17</v>
      </c>
    </row>
    <row r="18" spans="1:60" x14ac:dyDescent="0.2">
      <c r="A18" s="2" t="s">
        <v>140</v>
      </c>
      <c r="B18" s="2"/>
      <c r="C18" s="7">
        <v>47476</v>
      </c>
      <c r="E18" s="2">
        <v>23100</v>
      </c>
      <c r="F18" s="2" t="s">
        <v>342</v>
      </c>
      <c r="G18" s="2">
        <v>1670</v>
      </c>
      <c r="H18" s="2">
        <v>77</v>
      </c>
      <c r="I18" s="2">
        <v>75</v>
      </c>
      <c r="J18" s="8">
        <v>45929.479803240742</v>
      </c>
      <c r="K18" s="2">
        <v>11250</v>
      </c>
      <c r="L18" s="2">
        <v>7875</v>
      </c>
      <c r="M18" s="2">
        <v>1670</v>
      </c>
      <c r="N18" s="2">
        <v>1670</v>
      </c>
      <c r="O18" s="2">
        <v>1670</v>
      </c>
      <c r="P18" s="2">
        <v>1670</v>
      </c>
      <c r="Q18" s="2">
        <v>1638.65</v>
      </c>
      <c r="R18" s="2">
        <v>1657.3</v>
      </c>
      <c r="S18" s="2">
        <v>1593</v>
      </c>
      <c r="T18" s="2">
        <v>75</v>
      </c>
      <c r="U18" s="2">
        <v>24</v>
      </c>
      <c r="V18" s="2">
        <v>0</v>
      </c>
      <c r="W18" s="2">
        <v>1616.25</v>
      </c>
      <c r="X18" s="2">
        <v>53.75</v>
      </c>
      <c r="Y18" s="2">
        <v>0.91558061803811064</v>
      </c>
      <c r="Z18" s="2">
        <v>0.91784459592301826</v>
      </c>
      <c r="AA18" s="2">
        <v>1.2340386921972681E-4</v>
      </c>
      <c r="AB18" s="2">
        <v>0.61998268138220403</v>
      </c>
      <c r="AC18" s="2">
        <v>-92.327089479642723</v>
      </c>
      <c r="AD18" s="2">
        <v>2.0362294279138835</v>
      </c>
      <c r="AE18" s="2">
        <v>23100</v>
      </c>
      <c r="AF18" s="2" t="s">
        <v>343</v>
      </c>
      <c r="AG18" s="2">
        <v>1.05</v>
      </c>
      <c r="AH18" s="2">
        <v>-0.5</v>
      </c>
      <c r="AI18" s="2">
        <v>75</v>
      </c>
      <c r="AJ18" s="8">
        <v>45929.568796296298</v>
      </c>
      <c r="AK18" s="2">
        <v>5183850</v>
      </c>
      <c r="AL18" s="2">
        <v>765300</v>
      </c>
      <c r="AM18" s="2">
        <v>1.38</v>
      </c>
      <c r="AN18" s="2">
        <v>1</v>
      </c>
      <c r="AO18" s="2">
        <v>1.85</v>
      </c>
      <c r="AP18" s="2">
        <v>1</v>
      </c>
      <c r="AQ18" s="2">
        <v>1.05</v>
      </c>
      <c r="AR18" s="2">
        <v>1.1000000000000001</v>
      </c>
      <c r="AS18" s="2">
        <v>1.55</v>
      </c>
      <c r="AT18" s="2">
        <v>7063425</v>
      </c>
      <c r="AU18" s="2">
        <v>6296</v>
      </c>
      <c r="AV18" s="2">
        <v>774</v>
      </c>
      <c r="AW18" s="2">
        <v>-1616.25</v>
      </c>
      <c r="AX18" s="2">
        <v>1617.3</v>
      </c>
      <c r="AY18" s="2">
        <v>0.4883330705382829</v>
      </c>
      <c r="AZ18" s="2">
        <v>-5.0248424020543636E-3</v>
      </c>
      <c r="BA18" s="2">
        <v>2.2154443747833382E-5</v>
      </c>
      <c r="BB18" s="2">
        <v>-3.694854982544564E-3</v>
      </c>
      <c r="BC18" s="2">
        <v>-4.3868379765062402</v>
      </c>
      <c r="BD18" s="2">
        <v>0.19497469100178358</v>
      </c>
      <c r="BF18" s="2" t="s">
        <v>53</v>
      </c>
      <c r="BG18" s="2" t="s">
        <v>104</v>
      </c>
      <c r="BH18" s="2">
        <v>18</v>
      </c>
    </row>
    <row r="19" spans="1:60" x14ac:dyDescent="0.2">
      <c r="A19" s="2" t="s">
        <v>141</v>
      </c>
      <c r="B19" s="2"/>
      <c r="C19" s="7">
        <v>47659</v>
      </c>
      <c r="E19" s="2">
        <v>23150</v>
      </c>
      <c r="F19" s="2" t="s">
        <v>342</v>
      </c>
      <c r="G19" s="2">
        <v>1716.6</v>
      </c>
      <c r="H19" s="2">
        <v>0</v>
      </c>
      <c r="I19" s="2">
        <v>75</v>
      </c>
      <c r="J19" s="8">
        <v>45905.641817129632</v>
      </c>
      <c r="K19" s="2">
        <v>10650</v>
      </c>
      <c r="L19" s="2">
        <v>7050</v>
      </c>
      <c r="M19" s="2">
        <v>0</v>
      </c>
      <c r="N19" s="2">
        <v>0</v>
      </c>
      <c r="O19" s="2">
        <v>0</v>
      </c>
      <c r="P19" s="2">
        <v>0</v>
      </c>
      <c r="Q19" s="2">
        <v>1583.75</v>
      </c>
      <c r="R19" s="2">
        <v>1632.15</v>
      </c>
      <c r="S19" s="2">
        <v>1716.6</v>
      </c>
      <c r="T19" s="2">
        <v>0</v>
      </c>
      <c r="U19" s="2">
        <v>1</v>
      </c>
      <c r="V19" s="2">
        <v>0</v>
      </c>
      <c r="W19" s="2">
        <v>1566.25</v>
      </c>
      <c r="X19" s="2">
        <v>150.34999999999991</v>
      </c>
      <c r="Y19" s="2">
        <v>1.2499981849814572</v>
      </c>
      <c r="Z19" s="2">
        <v>0.84195885562162309</v>
      </c>
      <c r="AA19" s="2">
        <v>1.4382944718995959E-4</v>
      </c>
      <c r="AB19" s="2">
        <v>0.56327544822480902</v>
      </c>
      <c r="AC19" s="2">
        <v>-193.29647460727392</v>
      </c>
      <c r="AD19" s="2">
        <v>3.2400999833153459</v>
      </c>
      <c r="AE19" s="2">
        <v>23150</v>
      </c>
      <c r="AF19" s="2" t="s">
        <v>343</v>
      </c>
      <c r="AG19" s="2">
        <v>1.1000000000000001</v>
      </c>
      <c r="AH19" s="2">
        <v>-0.54999999999999982</v>
      </c>
      <c r="AI19" s="2">
        <v>75</v>
      </c>
      <c r="AJ19" s="8">
        <v>45929.568807870368</v>
      </c>
      <c r="AK19" s="2">
        <v>3768150</v>
      </c>
      <c r="AL19" s="2">
        <v>433125</v>
      </c>
      <c r="AM19" s="2">
        <v>1.43</v>
      </c>
      <c r="AN19" s="2">
        <v>1.05</v>
      </c>
      <c r="AO19" s="2">
        <v>1.95</v>
      </c>
      <c r="AP19" s="2">
        <v>1.05</v>
      </c>
      <c r="AQ19" s="2">
        <v>1.1000000000000001</v>
      </c>
      <c r="AR19" s="2">
        <v>1.1499999999999999</v>
      </c>
      <c r="AS19" s="2">
        <v>1.65</v>
      </c>
      <c r="AT19" s="2">
        <v>4299750</v>
      </c>
      <c r="AU19" s="2">
        <v>2570</v>
      </c>
      <c r="AV19" s="2">
        <v>691</v>
      </c>
      <c r="AW19" s="2">
        <v>-1566.25</v>
      </c>
      <c r="AX19" s="2">
        <v>1567.35</v>
      </c>
      <c r="AY19" s="2">
        <v>0.47688795309064297</v>
      </c>
      <c r="AZ19" s="2">
        <v>-5.3585699445029E-3</v>
      </c>
      <c r="BA19" s="2">
        <v>2.4022112667154013E-5</v>
      </c>
      <c r="BB19" s="2">
        <v>-3.9396688737460975E-3</v>
      </c>
      <c r="BC19" s="2">
        <v>-4.5352019129187759</v>
      </c>
      <c r="BD19" s="2">
        <v>0.20645663734737491</v>
      </c>
      <c r="BF19" s="2" t="s">
        <v>54</v>
      </c>
      <c r="BG19" s="2" t="s">
        <v>112</v>
      </c>
      <c r="BH19" s="2">
        <v>19</v>
      </c>
    </row>
    <row r="20" spans="1:60" x14ac:dyDescent="0.2">
      <c r="A20" s="2" t="s">
        <v>142</v>
      </c>
      <c r="B20" s="2"/>
      <c r="C20" s="2"/>
      <c r="E20" s="2">
        <v>23200</v>
      </c>
      <c r="F20" s="2" t="s">
        <v>342</v>
      </c>
      <c r="G20" s="2">
        <v>1519.25</v>
      </c>
      <c r="H20" s="2">
        <v>33.5</v>
      </c>
      <c r="I20" s="2">
        <v>75</v>
      </c>
      <c r="J20" s="8">
        <v>45929.493692129632</v>
      </c>
      <c r="K20" s="2">
        <v>11700</v>
      </c>
      <c r="L20" s="2">
        <v>10200</v>
      </c>
      <c r="M20" s="2">
        <v>1540.08</v>
      </c>
      <c r="N20" s="2">
        <v>1530</v>
      </c>
      <c r="O20" s="2">
        <v>1555</v>
      </c>
      <c r="P20" s="2">
        <v>1519.2</v>
      </c>
      <c r="Q20" s="2">
        <v>1545.05</v>
      </c>
      <c r="R20" s="2">
        <v>1565.35</v>
      </c>
      <c r="S20" s="2">
        <v>1485.75</v>
      </c>
      <c r="T20" s="2">
        <v>600</v>
      </c>
      <c r="U20" s="2">
        <v>26</v>
      </c>
      <c r="V20" s="2">
        <v>-3</v>
      </c>
      <c r="W20" s="2">
        <v>1516.25</v>
      </c>
      <c r="X20" s="2">
        <v>3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23200</v>
      </c>
      <c r="AF20" s="2" t="s">
        <v>343</v>
      </c>
      <c r="AG20" s="2">
        <v>1.1000000000000001</v>
      </c>
      <c r="AH20" s="2">
        <v>-0.54999999999999982</v>
      </c>
      <c r="AI20" s="2">
        <v>450</v>
      </c>
      <c r="AJ20" s="8">
        <v>45929.568958333337</v>
      </c>
      <c r="AK20" s="2">
        <v>5161575</v>
      </c>
      <c r="AL20" s="2">
        <v>1343025</v>
      </c>
      <c r="AM20" s="2">
        <v>1.44</v>
      </c>
      <c r="AN20" s="2">
        <v>1.2</v>
      </c>
      <c r="AO20" s="2">
        <v>1.9</v>
      </c>
      <c r="AP20" s="2">
        <v>1.05</v>
      </c>
      <c r="AQ20" s="2">
        <v>1.1000000000000001</v>
      </c>
      <c r="AR20" s="2">
        <v>1.1499999999999999</v>
      </c>
      <c r="AS20" s="2">
        <v>1.65</v>
      </c>
      <c r="AT20" s="2">
        <v>9241350</v>
      </c>
      <c r="AU20" s="2">
        <v>9962</v>
      </c>
      <c r="AV20" s="2">
        <v>-74</v>
      </c>
      <c r="AW20" s="2">
        <v>-1516.25</v>
      </c>
      <c r="AX20" s="2">
        <v>1517.35</v>
      </c>
      <c r="AY20" s="2">
        <v>0.46291289389897355</v>
      </c>
      <c r="AZ20" s="2">
        <v>-5.5071260553398727E-3</v>
      </c>
      <c r="BA20" s="2">
        <v>2.5356187331580159E-5</v>
      </c>
      <c r="BB20" s="2">
        <v>-4.0479892989350912E-3</v>
      </c>
      <c r="BC20" s="2">
        <v>-4.5094051566352755</v>
      </c>
      <c r="BD20" s="2">
        <v>0.21153613136813224</v>
      </c>
      <c r="BF20" s="2" t="s">
        <v>55</v>
      </c>
      <c r="BG20" s="2" t="s">
        <v>106</v>
      </c>
      <c r="BH20" s="2">
        <v>20</v>
      </c>
    </row>
    <row r="21" spans="1:60" x14ac:dyDescent="0.2">
      <c r="A21" s="2" t="s">
        <v>143</v>
      </c>
      <c r="B21" s="2"/>
      <c r="C21" s="2"/>
      <c r="E21" s="2">
        <v>23250</v>
      </c>
      <c r="F21" s="2" t="s">
        <v>342</v>
      </c>
      <c r="G21" s="2">
        <v>1845</v>
      </c>
      <c r="H21" s="2">
        <v>0</v>
      </c>
      <c r="I21" s="2">
        <v>75</v>
      </c>
      <c r="J21" s="8">
        <v>45925.398321759261</v>
      </c>
      <c r="K21" s="2">
        <v>10050</v>
      </c>
      <c r="L21" s="2">
        <v>7350</v>
      </c>
      <c r="M21" s="2">
        <v>0</v>
      </c>
      <c r="N21" s="2">
        <v>0</v>
      </c>
      <c r="O21" s="2">
        <v>0</v>
      </c>
      <c r="P21" s="2">
        <v>0</v>
      </c>
      <c r="Q21" s="2">
        <v>1484.15</v>
      </c>
      <c r="R21" s="2">
        <v>1534.7</v>
      </c>
      <c r="S21" s="2">
        <v>1845</v>
      </c>
      <c r="T21" s="2">
        <v>0</v>
      </c>
      <c r="U21" s="2">
        <v>2</v>
      </c>
      <c r="V21" s="2">
        <v>0</v>
      </c>
      <c r="W21" s="2">
        <v>1466.25</v>
      </c>
      <c r="X21" s="2">
        <v>378.75</v>
      </c>
      <c r="Y21" s="2">
        <v>1.7880410464207528</v>
      </c>
      <c r="Z21" s="2">
        <v>0.75216179504535308</v>
      </c>
      <c r="AA21" s="2">
        <v>1.3177600458295666E-4</v>
      </c>
      <c r="AB21" s="2">
        <v>0.4940117401274276</v>
      </c>
      <c r="AC21" s="2">
        <v>-357.14829977971385</v>
      </c>
      <c r="AD21" s="2">
        <v>4.2463427282375594</v>
      </c>
      <c r="AE21" s="2">
        <v>23250</v>
      </c>
      <c r="AF21" s="2" t="s">
        <v>343</v>
      </c>
      <c r="AG21" s="2">
        <v>1.1499999999999999</v>
      </c>
      <c r="AH21" s="2">
        <v>-0.60000000000000009</v>
      </c>
      <c r="AI21" s="2">
        <v>75</v>
      </c>
      <c r="AJ21" s="8">
        <v>45929.568773148145</v>
      </c>
      <c r="AK21" s="2">
        <v>4092150</v>
      </c>
      <c r="AL21" s="2">
        <v>552675</v>
      </c>
      <c r="AM21" s="2">
        <v>1.55</v>
      </c>
      <c r="AN21" s="2">
        <v>1.1499999999999999</v>
      </c>
      <c r="AO21" s="2">
        <v>2.0499999999999998</v>
      </c>
      <c r="AP21" s="2">
        <v>1.1000000000000001</v>
      </c>
      <c r="AQ21" s="2">
        <v>1.1499999999999999</v>
      </c>
      <c r="AR21" s="2">
        <v>1.2</v>
      </c>
      <c r="AS21" s="2">
        <v>1.75</v>
      </c>
      <c r="AT21" s="2">
        <v>6440475</v>
      </c>
      <c r="AU21" s="2">
        <v>4387</v>
      </c>
      <c r="AV21" s="2">
        <v>2567</v>
      </c>
      <c r="AW21" s="2">
        <v>-1466.25</v>
      </c>
      <c r="AX21" s="2">
        <v>1467.4</v>
      </c>
      <c r="AY21" s="2">
        <v>0.45119646406530317</v>
      </c>
      <c r="AZ21" s="2">
        <v>-5.8715798540878161E-3</v>
      </c>
      <c r="BA21" s="2">
        <v>2.7537455355332214E-5</v>
      </c>
      <c r="BB21" s="2">
        <v>-4.3152062891102377E-3</v>
      </c>
      <c r="BC21" s="2">
        <v>-4.6512712496137443</v>
      </c>
      <c r="BD21" s="2">
        <v>0.22391890023889502</v>
      </c>
      <c r="BF21" s="2" t="s">
        <v>56</v>
      </c>
      <c r="BG21" s="2" t="s">
        <v>105</v>
      </c>
      <c r="BH21" s="2">
        <v>21</v>
      </c>
    </row>
    <row r="22" spans="1:60" x14ac:dyDescent="0.2">
      <c r="A22" s="2" t="s">
        <v>144</v>
      </c>
      <c r="B22" s="2"/>
      <c r="C22" s="2"/>
      <c r="E22" s="2">
        <v>23300</v>
      </c>
      <c r="F22" s="2" t="s">
        <v>342</v>
      </c>
      <c r="G22" s="2">
        <v>1423.5</v>
      </c>
      <c r="H22" s="2">
        <v>33.5</v>
      </c>
      <c r="I22" s="2">
        <v>75</v>
      </c>
      <c r="J22" s="8">
        <v>45929.550787037035</v>
      </c>
      <c r="K22" s="2">
        <v>13875</v>
      </c>
      <c r="L22" s="2">
        <v>14025</v>
      </c>
      <c r="M22" s="2">
        <v>1417.3</v>
      </c>
      <c r="N22" s="2">
        <v>1500</v>
      </c>
      <c r="O22" s="2">
        <v>1530</v>
      </c>
      <c r="P22" s="2">
        <v>1350.9</v>
      </c>
      <c r="Q22" s="2">
        <v>1449.15</v>
      </c>
      <c r="R22" s="2">
        <v>1465</v>
      </c>
      <c r="S22" s="2">
        <v>1390</v>
      </c>
      <c r="T22" s="2">
        <v>750</v>
      </c>
      <c r="U22" s="2">
        <v>54</v>
      </c>
      <c r="V22" s="2">
        <v>-2</v>
      </c>
      <c r="W22" s="2">
        <v>1416.25</v>
      </c>
      <c r="X22" s="2">
        <v>7.25</v>
      </c>
      <c r="Y22" s="2">
        <v>0.38901392451926775</v>
      </c>
      <c r="Z22" s="2">
        <v>0.99757799530796065</v>
      </c>
      <c r="AA22" s="2">
        <v>1.4440943993822207E-5</v>
      </c>
      <c r="AB22" s="2">
        <v>0.68539227775101785</v>
      </c>
      <c r="AC22" s="2">
        <v>-8.1939828216211712</v>
      </c>
      <c r="AD22" s="2">
        <v>0.10124227925462723</v>
      </c>
      <c r="AE22" s="2">
        <v>23300</v>
      </c>
      <c r="AF22" s="2" t="s">
        <v>343</v>
      </c>
      <c r="AG22" s="2">
        <v>1.2</v>
      </c>
      <c r="AH22" s="2">
        <v>-0.7</v>
      </c>
      <c r="AI22" s="2">
        <v>75</v>
      </c>
      <c r="AJ22" s="8">
        <v>45929.569016203706</v>
      </c>
      <c r="AK22" s="2">
        <v>6297300</v>
      </c>
      <c r="AL22" s="2">
        <v>1342200</v>
      </c>
      <c r="AM22" s="2">
        <v>1.58</v>
      </c>
      <c r="AN22" s="2">
        <v>1.3</v>
      </c>
      <c r="AO22" s="2">
        <v>2</v>
      </c>
      <c r="AP22" s="2">
        <v>1.1499999999999999</v>
      </c>
      <c r="AQ22" s="2">
        <v>1.2</v>
      </c>
      <c r="AR22" s="2">
        <v>1.25</v>
      </c>
      <c r="AS22" s="2">
        <v>1.9</v>
      </c>
      <c r="AT22" s="2">
        <v>7618350</v>
      </c>
      <c r="AU22" s="2">
        <v>10771</v>
      </c>
      <c r="AV22" s="2">
        <v>2579</v>
      </c>
      <c r="AW22" s="2">
        <v>-1416.25</v>
      </c>
      <c r="AX22" s="2">
        <v>1417.45</v>
      </c>
      <c r="AY22" s="2">
        <v>0.43928515451110062</v>
      </c>
      <c r="AZ22" s="2">
        <v>-6.255348916119452E-3</v>
      </c>
      <c r="BA22" s="2">
        <v>2.9916565132872098E-5</v>
      </c>
      <c r="BB22" s="2">
        <v>-4.59650796640415E-3</v>
      </c>
      <c r="BC22" s="2">
        <v>-4.7884243847370014</v>
      </c>
      <c r="BD22" s="2">
        <v>0.2368424465132862</v>
      </c>
      <c r="BF22" s="2" t="s">
        <v>57</v>
      </c>
      <c r="BG22" s="2" t="s">
        <v>107</v>
      </c>
      <c r="BH22" s="2">
        <v>22</v>
      </c>
    </row>
    <row r="23" spans="1:60" x14ac:dyDescent="0.2">
      <c r="A23" s="2" t="s">
        <v>145</v>
      </c>
      <c r="B23" s="2"/>
      <c r="C23" s="2"/>
      <c r="E23" s="2">
        <v>23350</v>
      </c>
      <c r="F23" s="2" t="s">
        <v>342</v>
      </c>
      <c r="G23" s="2">
        <v>1687.1</v>
      </c>
      <c r="H23" s="2">
        <v>0</v>
      </c>
      <c r="I23" s="2">
        <v>300</v>
      </c>
      <c r="J23" s="8">
        <v>45925.542256944442</v>
      </c>
      <c r="K23" s="2">
        <v>12150</v>
      </c>
      <c r="L23" s="2">
        <v>9450</v>
      </c>
      <c r="M23" s="2">
        <v>0</v>
      </c>
      <c r="N23" s="2">
        <v>0</v>
      </c>
      <c r="O23" s="2">
        <v>0</v>
      </c>
      <c r="P23" s="2">
        <v>0</v>
      </c>
      <c r="Q23" s="2">
        <v>1386.15</v>
      </c>
      <c r="R23" s="2">
        <v>1427.55</v>
      </c>
      <c r="S23" s="2">
        <v>1687.1</v>
      </c>
      <c r="T23" s="2">
        <v>0</v>
      </c>
      <c r="U23" s="2">
        <v>5</v>
      </c>
      <c r="V23" s="2">
        <v>0</v>
      </c>
      <c r="W23" s="2">
        <v>1366.25</v>
      </c>
      <c r="X23" s="2">
        <v>320.84999999999991</v>
      </c>
      <c r="Y23" s="2">
        <v>1.5855093916082423</v>
      </c>
      <c r="Z23" s="2">
        <v>0.76015378751573826</v>
      </c>
      <c r="AA23" s="2">
        <v>1.4600307907834011E-4</v>
      </c>
      <c r="AB23" s="2">
        <v>0.50449733668558028</v>
      </c>
      <c r="AC23" s="2">
        <v>-311.8291595321146</v>
      </c>
      <c r="AD23" s="2">
        <v>4.1718824871473901</v>
      </c>
      <c r="AE23" s="2">
        <v>23350</v>
      </c>
      <c r="AF23" s="2" t="s">
        <v>343</v>
      </c>
      <c r="AG23" s="2">
        <v>1.3</v>
      </c>
      <c r="AH23" s="2">
        <v>-0.64999999999999991</v>
      </c>
      <c r="AI23" s="2">
        <v>225</v>
      </c>
      <c r="AJ23" s="8">
        <v>45929.569027777776</v>
      </c>
      <c r="AK23" s="2">
        <v>4635450</v>
      </c>
      <c r="AL23" s="2">
        <v>483225</v>
      </c>
      <c r="AM23" s="2">
        <v>1.55</v>
      </c>
      <c r="AN23" s="2">
        <v>1.2</v>
      </c>
      <c r="AO23" s="2">
        <v>2.1</v>
      </c>
      <c r="AP23" s="2">
        <v>1.1499999999999999</v>
      </c>
      <c r="AQ23" s="2">
        <v>1.25</v>
      </c>
      <c r="AR23" s="2">
        <v>1.3</v>
      </c>
      <c r="AS23" s="2">
        <v>1.95</v>
      </c>
      <c r="AT23" s="2">
        <v>4495500</v>
      </c>
      <c r="AU23" s="2">
        <v>3768</v>
      </c>
      <c r="AV23" s="2">
        <v>1890</v>
      </c>
      <c r="AW23" s="2">
        <v>-1366.25</v>
      </c>
      <c r="AX23" s="2">
        <v>1367.55</v>
      </c>
      <c r="AY23" s="2">
        <v>0.42915620041643682</v>
      </c>
      <c r="AZ23" s="2">
        <v>-6.8731455540712583E-3</v>
      </c>
      <c r="BA23" s="2">
        <v>3.3282448737641281E-5</v>
      </c>
      <c r="BB23" s="2">
        <v>-5.0499267307218586E-3</v>
      </c>
      <c r="BC23" s="2">
        <v>-5.0827591314131872</v>
      </c>
      <c r="BD23" s="2">
        <v>0.25741388988003583</v>
      </c>
      <c r="BF23" s="2" t="s">
        <v>58</v>
      </c>
      <c r="BG23" s="2" t="s">
        <v>108</v>
      </c>
      <c r="BH23" s="2">
        <v>23</v>
      </c>
    </row>
    <row r="24" spans="1:60" x14ac:dyDescent="0.2">
      <c r="A24" s="2" t="s">
        <v>146</v>
      </c>
      <c r="B24" s="2"/>
      <c r="C24" s="2"/>
      <c r="E24" s="2">
        <v>23400</v>
      </c>
      <c r="F24" s="2" t="s">
        <v>342</v>
      </c>
      <c r="G24" s="2">
        <v>1285</v>
      </c>
      <c r="H24" s="2">
        <v>1.4000000000000909</v>
      </c>
      <c r="I24" s="2">
        <v>75</v>
      </c>
      <c r="J24" s="8">
        <v>45929.526018518518</v>
      </c>
      <c r="K24" s="2">
        <v>12525</v>
      </c>
      <c r="L24" s="2">
        <v>11850</v>
      </c>
      <c r="M24" s="2">
        <v>1356.01</v>
      </c>
      <c r="N24" s="2">
        <v>1424.45</v>
      </c>
      <c r="O24" s="2">
        <v>1424.75</v>
      </c>
      <c r="P24" s="2">
        <v>1285</v>
      </c>
      <c r="Q24" s="2">
        <v>1347.2</v>
      </c>
      <c r="R24" s="2">
        <v>1365.55</v>
      </c>
      <c r="S24" s="2">
        <v>1283.5999999999999</v>
      </c>
      <c r="T24" s="2">
        <v>4725</v>
      </c>
      <c r="U24" s="2">
        <v>41</v>
      </c>
      <c r="V24" s="2">
        <v>-25</v>
      </c>
      <c r="W24" s="2">
        <v>1316.25</v>
      </c>
      <c r="X24" s="2">
        <v>-31.25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23400</v>
      </c>
      <c r="AF24" s="2" t="s">
        <v>343</v>
      </c>
      <c r="AG24" s="2">
        <v>1.35</v>
      </c>
      <c r="AH24" s="2">
        <v>-0.59999999999999987</v>
      </c>
      <c r="AI24" s="2">
        <v>225</v>
      </c>
      <c r="AJ24" s="8">
        <v>45929.569027777776</v>
      </c>
      <c r="AK24" s="2">
        <v>5711325</v>
      </c>
      <c r="AL24" s="2">
        <v>1186200</v>
      </c>
      <c r="AM24" s="2">
        <v>1.61</v>
      </c>
      <c r="AN24" s="2">
        <v>1.35</v>
      </c>
      <c r="AO24" s="2">
        <v>2.25</v>
      </c>
      <c r="AP24" s="2">
        <v>1.1499999999999999</v>
      </c>
      <c r="AQ24" s="2">
        <v>1.3</v>
      </c>
      <c r="AR24" s="2">
        <v>1.35</v>
      </c>
      <c r="AS24" s="2">
        <v>1.95</v>
      </c>
      <c r="AT24" s="2">
        <v>11974500</v>
      </c>
      <c r="AU24" s="2">
        <v>12384</v>
      </c>
      <c r="AV24" s="2">
        <v>2906</v>
      </c>
      <c r="AW24" s="2">
        <v>-1316.25</v>
      </c>
      <c r="AX24" s="2">
        <v>1317.6</v>
      </c>
      <c r="AY24" s="2">
        <v>0.41677282573271385</v>
      </c>
      <c r="AZ24" s="2">
        <v>-7.3059797159631401E-3</v>
      </c>
      <c r="BA24" s="2">
        <v>3.6168817722448541E-5</v>
      </c>
      <c r="BB24" s="2">
        <v>-5.3670042135525306E-3</v>
      </c>
      <c r="BC24" s="2">
        <v>-5.2076101641613493</v>
      </c>
      <c r="BD24" s="2">
        <v>0.2716658360586493</v>
      </c>
      <c r="BF24" s="2" t="s">
        <v>59</v>
      </c>
      <c r="BG24" s="2" t="s">
        <v>109</v>
      </c>
      <c r="BH24" s="2">
        <v>24</v>
      </c>
    </row>
    <row r="25" spans="1:60" x14ac:dyDescent="0.2">
      <c r="A25" s="2" t="s">
        <v>147</v>
      </c>
      <c r="B25" s="2"/>
      <c r="C25" s="2"/>
      <c r="E25" s="2">
        <v>23450</v>
      </c>
      <c r="F25" s="2" t="s">
        <v>342</v>
      </c>
      <c r="G25" s="2">
        <v>1470.8</v>
      </c>
      <c r="H25" s="2">
        <v>0</v>
      </c>
      <c r="I25" s="2">
        <v>75</v>
      </c>
      <c r="J25" s="8">
        <v>45908.623043981483</v>
      </c>
      <c r="K25" s="2">
        <v>12150</v>
      </c>
      <c r="L25" s="2">
        <v>9150</v>
      </c>
      <c r="M25" s="2">
        <v>0</v>
      </c>
      <c r="N25" s="2">
        <v>0</v>
      </c>
      <c r="O25" s="2">
        <v>0</v>
      </c>
      <c r="P25" s="2">
        <v>0</v>
      </c>
      <c r="Q25" s="2">
        <v>1286.3</v>
      </c>
      <c r="R25" s="2">
        <v>1321.2</v>
      </c>
      <c r="S25" s="2">
        <v>1470.8</v>
      </c>
      <c r="T25" s="2">
        <v>0</v>
      </c>
      <c r="U25" s="2">
        <v>5</v>
      </c>
      <c r="V25" s="2">
        <v>0</v>
      </c>
      <c r="W25" s="2">
        <v>1266.25</v>
      </c>
      <c r="X25" s="2">
        <v>204.54999999999995</v>
      </c>
      <c r="Y25" s="2">
        <v>1.2339700262358455</v>
      </c>
      <c r="Z25" s="2">
        <v>0.79462585788584239</v>
      </c>
      <c r="AA25" s="2">
        <v>1.7170210712642728E-4</v>
      </c>
      <c r="AB25" s="2">
        <v>0.53601394073654429</v>
      </c>
      <c r="AC25" s="2">
        <v>-223.76774691914906</v>
      </c>
      <c r="AD25" s="2">
        <v>3.818401375066617</v>
      </c>
      <c r="AE25" s="2">
        <v>23450</v>
      </c>
      <c r="AF25" s="2" t="s">
        <v>343</v>
      </c>
      <c r="AG25" s="2">
        <v>1.4</v>
      </c>
      <c r="AH25" s="2">
        <v>-0.75</v>
      </c>
      <c r="AI25" s="2">
        <v>450</v>
      </c>
      <c r="AJ25" s="8">
        <v>45929.569027777776</v>
      </c>
      <c r="AK25" s="2">
        <v>4475100</v>
      </c>
      <c r="AL25" s="2">
        <v>637650</v>
      </c>
      <c r="AM25" s="2">
        <v>1.67</v>
      </c>
      <c r="AN25" s="2">
        <v>2</v>
      </c>
      <c r="AO25" s="2">
        <v>2.25</v>
      </c>
      <c r="AP25" s="2">
        <v>1.25</v>
      </c>
      <c r="AQ25" s="2">
        <v>1.35</v>
      </c>
      <c r="AR25" s="2">
        <v>1.4</v>
      </c>
      <c r="AS25" s="2">
        <v>2.15</v>
      </c>
      <c r="AT25" s="2">
        <v>8704875</v>
      </c>
      <c r="AU25" s="2">
        <v>5001</v>
      </c>
      <c r="AV25" s="2">
        <v>3411</v>
      </c>
      <c r="AW25" s="2">
        <v>-1266.25</v>
      </c>
      <c r="AX25" s="2">
        <v>1267.6500000000001</v>
      </c>
      <c r="AY25" s="2">
        <v>0.40422024624983555</v>
      </c>
      <c r="AZ25" s="2">
        <v>-7.7650919538280183E-3</v>
      </c>
      <c r="BA25" s="2">
        <v>3.9348526711659947E-5</v>
      </c>
      <c r="BB25" s="2">
        <v>-5.7032416585376727E-3</v>
      </c>
      <c r="BC25" s="2">
        <v>-5.3273395779267636</v>
      </c>
      <c r="BD25" s="2">
        <v>0.28664726479828667</v>
      </c>
      <c r="BF25" s="2" t="s">
        <v>60</v>
      </c>
      <c r="BG25" s="2" t="s">
        <v>110</v>
      </c>
      <c r="BH25" s="2">
        <v>25</v>
      </c>
    </row>
    <row r="26" spans="1:60" x14ac:dyDescent="0.2">
      <c r="A26" s="2" t="s">
        <v>148</v>
      </c>
      <c r="B26" s="2"/>
      <c r="C26" s="2"/>
      <c r="E26" s="2">
        <v>23500</v>
      </c>
      <c r="F26" s="2" t="s">
        <v>342</v>
      </c>
      <c r="G26" s="2">
        <v>1245</v>
      </c>
      <c r="H26" s="2">
        <v>60.25</v>
      </c>
      <c r="I26" s="2">
        <v>75</v>
      </c>
      <c r="J26" s="8">
        <v>45929.568391203706</v>
      </c>
      <c r="K26" s="2">
        <v>13275</v>
      </c>
      <c r="L26" s="2">
        <v>14325</v>
      </c>
      <c r="M26" s="2">
        <v>1256.8399999999999</v>
      </c>
      <c r="N26" s="2">
        <v>1250</v>
      </c>
      <c r="O26" s="2">
        <v>1342.7</v>
      </c>
      <c r="P26" s="2">
        <v>1150</v>
      </c>
      <c r="Q26" s="2">
        <v>1250.55</v>
      </c>
      <c r="R26" s="2">
        <v>1254.5999999999999</v>
      </c>
      <c r="S26" s="2">
        <v>1184.75</v>
      </c>
      <c r="T26" s="2">
        <v>91725</v>
      </c>
      <c r="U26" s="2">
        <v>3268</v>
      </c>
      <c r="V26" s="2">
        <v>-344</v>
      </c>
      <c r="W26" s="2">
        <v>1216.25</v>
      </c>
      <c r="X26" s="2">
        <v>28.75</v>
      </c>
      <c r="Y26" s="2">
        <v>0.61045220822217294</v>
      </c>
      <c r="Z26" s="2">
        <v>0.93911184986451846</v>
      </c>
      <c r="AA26" s="2">
        <v>1.4704039635765257E-4</v>
      </c>
      <c r="AB26" s="2">
        <v>0.64802763374294148</v>
      </c>
      <c r="AC26" s="2">
        <v>-51.872706573693044</v>
      </c>
      <c r="AD26" s="2">
        <v>1.6176689436432421</v>
      </c>
      <c r="AE26" s="2">
        <v>23500</v>
      </c>
      <c r="AF26" s="2" t="s">
        <v>343</v>
      </c>
      <c r="AG26" s="2">
        <v>1.35</v>
      </c>
      <c r="AH26" s="2">
        <v>-0.89999999999999991</v>
      </c>
      <c r="AI26" s="2">
        <v>450</v>
      </c>
      <c r="AJ26" s="8">
        <v>45929.569027777776</v>
      </c>
      <c r="AK26" s="2">
        <v>17308125</v>
      </c>
      <c r="AL26" s="2">
        <v>2048325</v>
      </c>
      <c r="AM26" s="2">
        <v>1.6</v>
      </c>
      <c r="AN26" s="2">
        <v>1.55</v>
      </c>
      <c r="AO26" s="2">
        <v>2.25</v>
      </c>
      <c r="AP26" s="2">
        <v>1.25</v>
      </c>
      <c r="AQ26" s="2">
        <v>1.3</v>
      </c>
      <c r="AR26" s="2">
        <v>1.35</v>
      </c>
      <c r="AS26" s="2">
        <v>2.25</v>
      </c>
      <c r="AT26" s="2">
        <v>41020950</v>
      </c>
      <c r="AU26" s="2">
        <v>84817</v>
      </c>
      <c r="AV26" s="2">
        <v>14598</v>
      </c>
      <c r="AW26" s="2">
        <v>-1216.25</v>
      </c>
      <c r="AX26" s="2">
        <v>1217.5999999999999</v>
      </c>
      <c r="AY26" s="2">
        <v>0.38811275261395467</v>
      </c>
      <c r="AZ26" s="2">
        <v>-7.7973087049927337E-3</v>
      </c>
      <c r="BA26" s="2">
        <v>4.1131152746801545E-5</v>
      </c>
      <c r="BB26" s="2">
        <v>-5.7252566162479639E-3</v>
      </c>
      <c r="BC26" s="2">
        <v>-5.1315942285428022</v>
      </c>
      <c r="BD26" s="2">
        <v>0.28769345836067078</v>
      </c>
      <c r="BF26" s="2" t="s">
        <v>61</v>
      </c>
      <c r="BG26" s="2" t="s">
        <v>111</v>
      </c>
      <c r="BH26" s="2">
        <v>26</v>
      </c>
    </row>
    <row r="27" spans="1:60" x14ac:dyDescent="0.2">
      <c r="A27" s="2" t="s">
        <v>149</v>
      </c>
      <c r="B27" s="2"/>
      <c r="C27" s="2"/>
      <c r="E27" s="2">
        <v>23550</v>
      </c>
      <c r="F27" s="2" t="s">
        <v>342</v>
      </c>
      <c r="G27" s="2">
        <v>1453.8</v>
      </c>
      <c r="H27" s="2">
        <v>0</v>
      </c>
      <c r="I27" s="2">
        <v>75</v>
      </c>
      <c r="J27" s="8">
        <v>45925.605173611111</v>
      </c>
      <c r="K27" s="2">
        <v>11250</v>
      </c>
      <c r="L27" s="2">
        <v>9450</v>
      </c>
      <c r="M27" s="2">
        <v>0</v>
      </c>
      <c r="N27" s="2">
        <v>0</v>
      </c>
      <c r="O27" s="2">
        <v>0</v>
      </c>
      <c r="P27" s="2">
        <v>0</v>
      </c>
      <c r="Q27" s="2">
        <v>1186.5</v>
      </c>
      <c r="R27" s="2">
        <v>1229.3</v>
      </c>
      <c r="S27" s="2">
        <v>1453.8</v>
      </c>
      <c r="T27" s="2">
        <v>0</v>
      </c>
      <c r="U27" s="2">
        <v>12</v>
      </c>
      <c r="V27" s="2">
        <v>0</v>
      </c>
      <c r="W27" s="2">
        <v>1166.25</v>
      </c>
      <c r="X27" s="2">
        <v>287.54999999999995</v>
      </c>
      <c r="Y27" s="2">
        <v>1.3781651609750485</v>
      </c>
      <c r="Z27" s="2">
        <v>0.75398608095250641</v>
      </c>
      <c r="AA27" s="2">
        <v>1.7029245995634889E-4</v>
      </c>
      <c r="AB27" s="2">
        <v>0.50688272147346392</v>
      </c>
      <c r="AC27" s="2">
        <v>-275.37745253445303</v>
      </c>
      <c r="AD27" s="2">
        <v>4.2295866925780778</v>
      </c>
      <c r="AE27" s="2">
        <v>23550</v>
      </c>
      <c r="AF27" s="2" t="s">
        <v>343</v>
      </c>
      <c r="AG27" s="2">
        <v>1.4</v>
      </c>
      <c r="AH27" s="2">
        <v>-1</v>
      </c>
      <c r="AI27" s="2">
        <v>75</v>
      </c>
      <c r="AJ27" s="8">
        <v>45929.568784722222</v>
      </c>
      <c r="AK27" s="2">
        <v>4398600</v>
      </c>
      <c r="AL27" s="2">
        <v>768900</v>
      </c>
      <c r="AM27" s="2">
        <v>1.73</v>
      </c>
      <c r="AN27" s="2">
        <v>1.7</v>
      </c>
      <c r="AO27" s="2">
        <v>2.2999999999999998</v>
      </c>
      <c r="AP27" s="2">
        <v>1.3</v>
      </c>
      <c r="AQ27" s="2">
        <v>1.4</v>
      </c>
      <c r="AR27" s="2">
        <v>1.45</v>
      </c>
      <c r="AS27" s="2">
        <v>2.4</v>
      </c>
      <c r="AT27" s="2">
        <v>8209650</v>
      </c>
      <c r="AU27" s="2">
        <v>6363</v>
      </c>
      <c r="AV27" s="2">
        <v>3280</v>
      </c>
      <c r="AW27" s="2">
        <v>-1166.25</v>
      </c>
      <c r="AX27" s="2">
        <v>1167.6500000000001</v>
      </c>
      <c r="AY27" s="2">
        <v>0.37541229927783593</v>
      </c>
      <c r="AZ27" s="2">
        <v>-8.3069598177782922E-3</v>
      </c>
      <c r="BA27" s="2">
        <v>4.4956347697750164E-5</v>
      </c>
      <c r="BB27" s="2">
        <v>-6.0983456932663009E-3</v>
      </c>
      <c r="BC27" s="2">
        <v>-5.2454945271700613</v>
      </c>
      <c r="BD27" s="2">
        <v>0.30415904933616744</v>
      </c>
      <c r="BF27" s="2" t="s">
        <v>62</v>
      </c>
      <c r="BG27" s="2" t="s">
        <v>92</v>
      </c>
      <c r="BH27" s="2">
        <v>27</v>
      </c>
    </row>
    <row r="28" spans="1:60" x14ac:dyDescent="0.2">
      <c r="A28" s="2" t="s">
        <v>150</v>
      </c>
      <c r="B28" s="2"/>
      <c r="C28" s="2"/>
      <c r="E28" s="2">
        <v>23600</v>
      </c>
      <c r="F28" s="2" t="s">
        <v>342</v>
      </c>
      <c r="G28" s="2">
        <v>1089.75</v>
      </c>
      <c r="H28" s="2">
        <v>-2</v>
      </c>
      <c r="I28" s="2">
        <v>75</v>
      </c>
      <c r="J28" s="8">
        <v>45929.514236111114</v>
      </c>
      <c r="K28" s="2">
        <v>11700</v>
      </c>
      <c r="L28" s="2">
        <v>10950</v>
      </c>
      <c r="M28" s="2">
        <v>1157.24</v>
      </c>
      <c r="N28" s="2">
        <v>1149.8499999999999</v>
      </c>
      <c r="O28" s="2">
        <v>1229.7</v>
      </c>
      <c r="P28" s="2">
        <v>1089.75</v>
      </c>
      <c r="Q28" s="2">
        <v>1150.4000000000001</v>
      </c>
      <c r="R28" s="2">
        <v>1164.6500000000001</v>
      </c>
      <c r="S28" s="2">
        <v>1091.75</v>
      </c>
      <c r="T28" s="2">
        <v>2250</v>
      </c>
      <c r="U28" s="2">
        <v>62</v>
      </c>
      <c r="V28" s="2">
        <v>-7</v>
      </c>
      <c r="W28" s="2">
        <v>1116.25</v>
      </c>
      <c r="X28" s="2">
        <v>-26.5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23600</v>
      </c>
      <c r="AF28" s="2" t="s">
        <v>343</v>
      </c>
      <c r="AG28" s="2">
        <v>1.45</v>
      </c>
      <c r="AH28" s="2">
        <v>-1.05</v>
      </c>
      <c r="AI28" s="2">
        <v>225</v>
      </c>
      <c r="AJ28" s="8">
        <v>45929.568993055553</v>
      </c>
      <c r="AK28" s="2">
        <v>7153800</v>
      </c>
      <c r="AL28" s="2">
        <v>1388250</v>
      </c>
      <c r="AM28" s="2">
        <v>1.75</v>
      </c>
      <c r="AN28" s="2">
        <v>2.1</v>
      </c>
      <c r="AO28" s="2">
        <v>2.35</v>
      </c>
      <c r="AP28" s="2">
        <v>1.3</v>
      </c>
      <c r="AQ28" s="2">
        <v>1.45</v>
      </c>
      <c r="AR28" s="2">
        <v>1.5</v>
      </c>
      <c r="AS28" s="2">
        <v>2.5</v>
      </c>
      <c r="AT28" s="2">
        <v>22443000</v>
      </c>
      <c r="AU28" s="2">
        <v>35490</v>
      </c>
      <c r="AV28" s="2">
        <v>14724</v>
      </c>
      <c r="AW28" s="2">
        <v>-1116.25</v>
      </c>
      <c r="AX28" s="2">
        <v>1117.7</v>
      </c>
      <c r="AY28" s="2">
        <v>0.36254214374829641</v>
      </c>
      <c r="AZ28" s="2">
        <v>-8.8520014021580273E-3</v>
      </c>
      <c r="BA28" s="2">
        <v>4.9221335339060145E-5</v>
      </c>
      <c r="BB28" s="2">
        <v>-6.4972389605405922E-3</v>
      </c>
      <c r="BC28" s="2">
        <v>-5.3535913800474315</v>
      </c>
      <c r="BD28" s="2">
        <v>0.32159781002522037</v>
      </c>
      <c r="BF28" s="2" t="s">
        <v>63</v>
      </c>
      <c r="BG28" s="2" t="s">
        <v>92</v>
      </c>
      <c r="BH28" s="2">
        <v>28</v>
      </c>
    </row>
    <row r="29" spans="1:60" x14ac:dyDescent="0.2">
      <c r="A29" s="2" t="s">
        <v>151</v>
      </c>
      <c r="B29" s="2"/>
      <c r="C29" s="2"/>
      <c r="E29" s="2">
        <v>23650</v>
      </c>
      <c r="F29" s="2" t="s">
        <v>342</v>
      </c>
      <c r="G29" s="2">
        <v>1099</v>
      </c>
      <c r="H29" s="2">
        <v>75.950000000000045</v>
      </c>
      <c r="I29" s="2">
        <v>75</v>
      </c>
      <c r="J29" s="8">
        <v>45929.563206018516</v>
      </c>
      <c r="K29" s="2">
        <v>12975</v>
      </c>
      <c r="L29" s="2">
        <v>12900</v>
      </c>
      <c r="M29" s="2">
        <v>1105.48</v>
      </c>
      <c r="N29" s="2">
        <v>1115.1500000000001</v>
      </c>
      <c r="O29" s="2">
        <v>1187.8</v>
      </c>
      <c r="P29" s="2">
        <v>1052.3499999999999</v>
      </c>
      <c r="Q29" s="2">
        <v>1100.05</v>
      </c>
      <c r="R29" s="2">
        <v>1113.5</v>
      </c>
      <c r="S29" s="2">
        <v>1023.05</v>
      </c>
      <c r="T29" s="2">
        <v>1575</v>
      </c>
      <c r="U29" s="2">
        <v>22</v>
      </c>
      <c r="V29" s="2">
        <v>7</v>
      </c>
      <c r="W29" s="2">
        <v>1066.25</v>
      </c>
      <c r="X29" s="2">
        <v>32.75</v>
      </c>
      <c r="Y29" s="2">
        <v>0.5716992874762028</v>
      </c>
      <c r="Z29" s="2">
        <v>0.92579448837145772</v>
      </c>
      <c r="AA29" s="2">
        <v>1.8294822156096936E-4</v>
      </c>
      <c r="AB29" s="2">
        <v>0.64262431808821308</v>
      </c>
      <c r="AC29" s="2">
        <v>-56.006665237102865</v>
      </c>
      <c r="AD29" s="2">
        <v>1.8849382020830319</v>
      </c>
      <c r="AE29" s="2">
        <v>23650</v>
      </c>
      <c r="AF29" s="2" t="s">
        <v>343</v>
      </c>
      <c r="AG29" s="2">
        <v>1.55</v>
      </c>
      <c r="AH29" s="2">
        <v>-1.0999999999999999</v>
      </c>
      <c r="AI29" s="2">
        <v>75</v>
      </c>
      <c r="AJ29" s="8">
        <v>45929.568865740737</v>
      </c>
      <c r="AK29" s="2">
        <v>5193675</v>
      </c>
      <c r="AL29" s="2">
        <v>1043325</v>
      </c>
      <c r="AM29" s="2">
        <v>1.86</v>
      </c>
      <c r="AN29" s="2">
        <v>2.15</v>
      </c>
      <c r="AO29" s="2">
        <v>2.5</v>
      </c>
      <c r="AP29" s="2">
        <v>1.2</v>
      </c>
      <c r="AQ29" s="2">
        <v>1.5</v>
      </c>
      <c r="AR29" s="2">
        <v>1.55</v>
      </c>
      <c r="AS29" s="2">
        <v>2.65</v>
      </c>
      <c r="AT29" s="2">
        <v>11598900</v>
      </c>
      <c r="AU29" s="2">
        <v>11030</v>
      </c>
      <c r="AV29" s="2">
        <v>6380</v>
      </c>
      <c r="AW29" s="2">
        <v>-1066.25</v>
      </c>
      <c r="AX29" s="2">
        <v>1067.8</v>
      </c>
      <c r="AY29" s="2">
        <v>0.35095775289977726</v>
      </c>
      <c r="AZ29" s="2">
        <v>-9.6839784068860624E-3</v>
      </c>
      <c r="BA29" s="2">
        <v>5.500434748424078E-5</v>
      </c>
      <c r="BB29" s="2">
        <v>-7.1068280195358728E-3</v>
      </c>
      <c r="BC29" s="2">
        <v>-5.6035548710563319</v>
      </c>
      <c r="BD29" s="2">
        <v>0.34789892077428425</v>
      </c>
      <c r="BF29" s="2" t="s">
        <v>64</v>
      </c>
      <c r="BG29" s="2" t="s">
        <v>0</v>
      </c>
      <c r="BH29" s="2">
        <v>29</v>
      </c>
    </row>
    <row r="30" spans="1:60" x14ac:dyDescent="0.2">
      <c r="A30" s="2" t="s">
        <v>152</v>
      </c>
      <c r="B30" s="2"/>
      <c r="C30" s="2"/>
      <c r="E30" s="2">
        <v>23700</v>
      </c>
      <c r="F30" s="2" t="s">
        <v>342</v>
      </c>
      <c r="G30" s="2">
        <v>1050</v>
      </c>
      <c r="H30" s="2">
        <v>61.200000000000045</v>
      </c>
      <c r="I30" s="2">
        <v>150</v>
      </c>
      <c r="J30" s="8">
        <v>45929.567118055558</v>
      </c>
      <c r="K30" s="2">
        <v>12600</v>
      </c>
      <c r="L30" s="2">
        <v>13950</v>
      </c>
      <c r="M30" s="2">
        <v>1081.4100000000001</v>
      </c>
      <c r="N30" s="2">
        <v>1109.6500000000001</v>
      </c>
      <c r="O30" s="2">
        <v>1144.95</v>
      </c>
      <c r="P30" s="2">
        <v>959.4</v>
      </c>
      <c r="Q30" s="2">
        <v>1049</v>
      </c>
      <c r="R30" s="2">
        <v>1054.8</v>
      </c>
      <c r="S30" s="2">
        <v>988.8</v>
      </c>
      <c r="T30" s="2">
        <v>2250</v>
      </c>
      <c r="U30" s="2">
        <v>52</v>
      </c>
      <c r="V30" s="2">
        <v>-6</v>
      </c>
      <c r="W30" s="2">
        <v>1016.25</v>
      </c>
      <c r="X30" s="2">
        <v>33.75</v>
      </c>
      <c r="Y30" s="2">
        <v>0.55584273415229823</v>
      </c>
      <c r="Z30" s="2">
        <v>0.92154871253876558</v>
      </c>
      <c r="AA30" s="2">
        <v>1.963052501263909E-4</v>
      </c>
      <c r="AB30" s="2">
        <v>0.6409739783716476</v>
      </c>
      <c r="AC30" s="2">
        <v>-56.707577352684069</v>
      </c>
      <c r="AD30" s="2">
        <v>1.9664598168189142</v>
      </c>
      <c r="AE30" s="2">
        <v>23700</v>
      </c>
      <c r="AF30" s="2" t="s">
        <v>343</v>
      </c>
      <c r="AG30" s="2">
        <v>1.55</v>
      </c>
      <c r="AH30" s="2">
        <v>-1.2</v>
      </c>
      <c r="AI30" s="2">
        <v>75</v>
      </c>
      <c r="AJ30" s="8">
        <v>45929.568993055553</v>
      </c>
      <c r="AK30" s="2">
        <v>9631500</v>
      </c>
      <c r="AL30" s="2">
        <v>1582725</v>
      </c>
      <c r="AM30" s="2">
        <v>1.88</v>
      </c>
      <c r="AN30" s="2">
        <v>1.85</v>
      </c>
      <c r="AO30" s="2">
        <v>2.5</v>
      </c>
      <c r="AP30" s="2">
        <v>1.4</v>
      </c>
      <c r="AQ30" s="2">
        <v>1.55</v>
      </c>
      <c r="AR30" s="2">
        <v>1.6</v>
      </c>
      <c r="AS30" s="2">
        <v>2.75</v>
      </c>
      <c r="AT30" s="2">
        <v>31845450</v>
      </c>
      <c r="AU30" s="2">
        <v>53860</v>
      </c>
      <c r="AV30" s="2">
        <v>15808</v>
      </c>
      <c r="AW30" s="2">
        <v>-1016.25</v>
      </c>
      <c r="AX30" s="2">
        <v>1017.8</v>
      </c>
      <c r="AY30" s="2">
        <v>0.33629989808510147</v>
      </c>
      <c r="AZ30" s="2">
        <v>-1.0066565797414828E-2</v>
      </c>
      <c r="BA30" s="2">
        <v>5.9377171168489495E-5</v>
      </c>
      <c r="BB30" s="2">
        <v>-7.3857919791764197E-3</v>
      </c>
      <c r="BC30" s="2">
        <v>-5.5511365413508535</v>
      </c>
      <c r="BD30" s="2">
        <v>0.35987146963382133</v>
      </c>
      <c r="BF30" s="2" t="s">
        <v>65</v>
      </c>
      <c r="BG30" s="2" t="s">
        <v>13</v>
      </c>
      <c r="BH30" s="2">
        <v>30</v>
      </c>
    </row>
    <row r="31" spans="1:60" x14ac:dyDescent="0.2">
      <c r="A31" s="2" t="s">
        <v>153</v>
      </c>
      <c r="B31" s="2"/>
      <c r="C31" s="2"/>
      <c r="E31" s="2">
        <v>23750</v>
      </c>
      <c r="F31" s="2" t="s">
        <v>342</v>
      </c>
      <c r="G31" s="2">
        <v>944</v>
      </c>
      <c r="H31" s="2">
        <v>-9.9500000000000455</v>
      </c>
      <c r="I31" s="2">
        <v>75</v>
      </c>
      <c r="J31" s="8">
        <v>45929.524421296293</v>
      </c>
      <c r="K31" s="2">
        <v>14250</v>
      </c>
      <c r="L31" s="2">
        <v>12600</v>
      </c>
      <c r="M31" s="2">
        <v>1016.81</v>
      </c>
      <c r="N31" s="2">
        <v>1071.05</v>
      </c>
      <c r="O31" s="2">
        <v>1071.05</v>
      </c>
      <c r="P31" s="2">
        <v>944</v>
      </c>
      <c r="Q31" s="2">
        <v>1001.4</v>
      </c>
      <c r="R31" s="2">
        <v>1005.25</v>
      </c>
      <c r="S31" s="2">
        <v>953.95</v>
      </c>
      <c r="T31" s="2">
        <v>675</v>
      </c>
      <c r="U31" s="2">
        <v>21</v>
      </c>
      <c r="V31" s="2">
        <v>2</v>
      </c>
      <c r="W31" s="2">
        <v>966.25</v>
      </c>
      <c r="X31" s="2">
        <v>-22.25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23750</v>
      </c>
      <c r="AF31" s="2" t="s">
        <v>343</v>
      </c>
      <c r="AG31" s="2">
        <v>1.8</v>
      </c>
      <c r="AH31" s="2">
        <v>-1.05</v>
      </c>
      <c r="AI31" s="2">
        <v>75</v>
      </c>
      <c r="AJ31" s="8">
        <v>45929.569027777776</v>
      </c>
      <c r="AK31" s="2">
        <v>6245850</v>
      </c>
      <c r="AL31" s="2">
        <v>704400</v>
      </c>
      <c r="AM31" s="2">
        <v>2.02</v>
      </c>
      <c r="AN31" s="2">
        <v>2.4</v>
      </c>
      <c r="AO31" s="2">
        <v>2.7</v>
      </c>
      <c r="AP31" s="2">
        <v>1.4</v>
      </c>
      <c r="AQ31" s="2">
        <v>1.75</v>
      </c>
      <c r="AR31" s="2">
        <v>1.8</v>
      </c>
      <c r="AS31" s="2">
        <v>2.85</v>
      </c>
      <c r="AT31" s="2">
        <v>20217675</v>
      </c>
      <c r="AU31" s="2">
        <v>24460</v>
      </c>
      <c r="AV31" s="2">
        <v>16272</v>
      </c>
      <c r="AW31" s="2">
        <v>-966.25</v>
      </c>
      <c r="AX31" s="2">
        <v>968.05</v>
      </c>
      <c r="AY31" s="2">
        <v>0.32796975263200856</v>
      </c>
      <c r="AZ31" s="2">
        <v>-1.1783497730010528E-2</v>
      </c>
      <c r="BA31" s="2">
        <v>6.9828240696840697E-5</v>
      </c>
      <c r="BB31" s="2">
        <v>-8.6450734646918645E-3</v>
      </c>
      <c r="BC31" s="2">
        <v>-6.2052306894587526</v>
      </c>
      <c r="BD31" s="2">
        <v>0.41273004975791494</v>
      </c>
      <c r="BF31" s="2" t="s">
        <v>66</v>
      </c>
      <c r="BG31" s="2" t="s">
        <v>95</v>
      </c>
      <c r="BH31" s="2">
        <v>31</v>
      </c>
    </row>
    <row r="32" spans="1:60" x14ac:dyDescent="0.2">
      <c r="A32" s="2" t="s">
        <v>154</v>
      </c>
      <c r="B32" s="2"/>
      <c r="C32" s="2"/>
      <c r="E32" s="2">
        <v>23800</v>
      </c>
      <c r="F32" s="2" t="s">
        <v>342</v>
      </c>
      <c r="G32" s="2">
        <v>950</v>
      </c>
      <c r="H32" s="2">
        <v>55.350000000000023</v>
      </c>
      <c r="I32" s="2">
        <v>75</v>
      </c>
      <c r="J32" s="8">
        <v>45929.567858796298</v>
      </c>
      <c r="K32" s="2">
        <v>13725</v>
      </c>
      <c r="L32" s="2">
        <v>14475</v>
      </c>
      <c r="M32" s="2">
        <v>951.11</v>
      </c>
      <c r="N32" s="2">
        <v>961</v>
      </c>
      <c r="O32" s="2">
        <v>1032.8499999999999</v>
      </c>
      <c r="P32" s="2">
        <v>860.65</v>
      </c>
      <c r="Q32" s="2">
        <v>949.4</v>
      </c>
      <c r="R32" s="2">
        <v>954.8</v>
      </c>
      <c r="S32" s="2">
        <v>894.65</v>
      </c>
      <c r="T32" s="2">
        <v>24300</v>
      </c>
      <c r="U32" s="2">
        <v>219</v>
      </c>
      <c r="V32" s="2">
        <v>-1</v>
      </c>
      <c r="W32" s="2">
        <v>916.25</v>
      </c>
      <c r="X32" s="2">
        <v>33.75</v>
      </c>
      <c r="Y32" s="2">
        <v>0.51328467967839053</v>
      </c>
      <c r="Z32" s="2">
        <v>0.91612947157017111</v>
      </c>
      <c r="AA32" s="2">
        <v>2.2357144747968245E-4</v>
      </c>
      <c r="AB32" s="2">
        <v>0.63997265611800613</v>
      </c>
      <c r="AC32" s="2">
        <v>-55.235229683239226</v>
      </c>
      <c r="AD32" s="2">
        <v>2.0681207623081503</v>
      </c>
      <c r="AE32" s="2">
        <v>23800</v>
      </c>
      <c r="AF32" s="2" t="s">
        <v>343</v>
      </c>
      <c r="AG32" s="2">
        <v>1.75</v>
      </c>
      <c r="AH32" s="2">
        <v>-1.4</v>
      </c>
      <c r="AI32" s="2">
        <v>75</v>
      </c>
      <c r="AJ32" s="8">
        <v>45929.568993055553</v>
      </c>
      <c r="AK32" s="2">
        <v>10502700</v>
      </c>
      <c r="AL32" s="2">
        <v>1343625</v>
      </c>
      <c r="AM32" s="2">
        <v>2.1</v>
      </c>
      <c r="AN32" s="2">
        <v>1.9</v>
      </c>
      <c r="AO32" s="2">
        <v>2.75</v>
      </c>
      <c r="AP32" s="2">
        <v>1.5</v>
      </c>
      <c r="AQ32" s="2">
        <v>1.75</v>
      </c>
      <c r="AR32" s="2">
        <v>1.8</v>
      </c>
      <c r="AS32" s="2">
        <v>3.15</v>
      </c>
      <c r="AT32" s="2">
        <v>47227050</v>
      </c>
      <c r="AU32" s="2">
        <v>83752</v>
      </c>
      <c r="AV32" s="2">
        <v>11888</v>
      </c>
      <c r="AW32" s="2">
        <v>-916.25</v>
      </c>
      <c r="AX32" s="2">
        <v>918</v>
      </c>
      <c r="AY32" s="2">
        <v>0.31181916927697917</v>
      </c>
      <c r="AZ32" s="2">
        <v>-1.2025561789647643E-2</v>
      </c>
      <c r="BA32" s="2">
        <v>7.4751970378542903E-5</v>
      </c>
      <c r="BB32" s="2">
        <v>-8.8201000371337605E-3</v>
      </c>
      <c r="BC32" s="2">
        <v>-6.0004267341470712</v>
      </c>
      <c r="BD32" s="2">
        <v>0.42007481759244125</v>
      </c>
      <c r="BF32" s="2" t="s">
        <v>67</v>
      </c>
      <c r="BG32" s="2" t="s">
        <v>96</v>
      </c>
      <c r="BH32" s="2">
        <v>32</v>
      </c>
    </row>
    <row r="33" spans="1:60" x14ac:dyDescent="0.2">
      <c r="A33" s="2" t="s">
        <v>155</v>
      </c>
      <c r="B33" s="2"/>
      <c r="C33" s="2"/>
      <c r="E33" s="2">
        <v>23850</v>
      </c>
      <c r="F33" s="2" t="s">
        <v>342</v>
      </c>
      <c r="G33" s="2">
        <v>875.65</v>
      </c>
      <c r="H33" s="2">
        <v>21</v>
      </c>
      <c r="I33" s="2">
        <v>75</v>
      </c>
      <c r="J33" s="8">
        <v>45929.486724537041</v>
      </c>
      <c r="K33" s="2">
        <v>14700</v>
      </c>
      <c r="L33" s="2">
        <v>13500</v>
      </c>
      <c r="M33" s="2">
        <v>925.13</v>
      </c>
      <c r="N33" s="2">
        <v>967.15</v>
      </c>
      <c r="O33" s="2">
        <v>968.15</v>
      </c>
      <c r="P33" s="2">
        <v>875.35</v>
      </c>
      <c r="Q33" s="2">
        <v>899.45</v>
      </c>
      <c r="R33" s="2">
        <v>910.8</v>
      </c>
      <c r="S33" s="2">
        <v>854.65</v>
      </c>
      <c r="T33" s="2">
        <v>975</v>
      </c>
      <c r="U33" s="2">
        <v>11</v>
      </c>
      <c r="V33" s="2">
        <v>-4</v>
      </c>
      <c r="W33" s="2">
        <v>866.25</v>
      </c>
      <c r="X33" s="2">
        <v>9.3999999999999773</v>
      </c>
      <c r="Y33" s="2">
        <v>0.30953998151000639</v>
      </c>
      <c r="Z33" s="2">
        <v>0.98414214535348887</v>
      </c>
      <c r="AA33" s="2">
        <v>9.5591458680600107E-5</v>
      </c>
      <c r="AB33" s="2">
        <v>0.69175775207610823</v>
      </c>
      <c r="AC33" s="2">
        <v>-14.088983827907208</v>
      </c>
      <c r="AD33" s="2">
        <v>0.5332576925391197</v>
      </c>
      <c r="AE33" s="2">
        <v>23850</v>
      </c>
      <c r="AF33" s="2" t="s">
        <v>343</v>
      </c>
      <c r="AG33" s="2">
        <v>1.8</v>
      </c>
      <c r="AH33" s="2">
        <v>-1.45</v>
      </c>
      <c r="AI33" s="2">
        <v>300</v>
      </c>
      <c r="AJ33" s="8">
        <v>45929.568958333337</v>
      </c>
      <c r="AK33" s="2">
        <v>6750075</v>
      </c>
      <c r="AL33" s="2">
        <v>845550</v>
      </c>
      <c r="AM33" s="2">
        <v>2.23</v>
      </c>
      <c r="AN33" s="2">
        <v>2.1</v>
      </c>
      <c r="AO33" s="2">
        <v>2.9</v>
      </c>
      <c r="AP33" s="2">
        <v>1.5</v>
      </c>
      <c r="AQ33" s="2">
        <v>1.8</v>
      </c>
      <c r="AR33" s="2">
        <v>1.85</v>
      </c>
      <c r="AS33" s="2">
        <v>3.25</v>
      </c>
      <c r="AT33" s="2">
        <v>28491750</v>
      </c>
      <c r="AU33" s="2">
        <v>15708</v>
      </c>
      <c r="AV33" s="2">
        <v>7896</v>
      </c>
      <c r="AW33" s="2">
        <v>-866.25</v>
      </c>
      <c r="AX33" s="2">
        <v>868.05</v>
      </c>
      <c r="AY33" s="2">
        <v>0.29797502219409577</v>
      </c>
      <c r="AZ33" s="2">
        <v>-1.2850438849718926E-2</v>
      </c>
      <c r="BA33" s="2">
        <v>8.2851067700609154E-5</v>
      </c>
      <c r="BB33" s="2">
        <v>-9.4230385609918033E-3</v>
      </c>
      <c r="BC33" s="2">
        <v>-6.0685106599893031</v>
      </c>
      <c r="BD33" s="2">
        <v>0.44491725965143697</v>
      </c>
      <c r="BF33" s="2" t="s">
        <v>68</v>
      </c>
      <c r="BG33" s="2" t="s">
        <v>97</v>
      </c>
      <c r="BH33" s="2">
        <v>33</v>
      </c>
    </row>
    <row r="34" spans="1:60" x14ac:dyDescent="0.2">
      <c r="A34" s="2" t="s">
        <v>156</v>
      </c>
      <c r="B34" s="2"/>
      <c r="C34" s="2"/>
      <c r="E34" s="2">
        <v>23900</v>
      </c>
      <c r="F34" s="2" t="s">
        <v>342</v>
      </c>
      <c r="G34" s="2">
        <v>830</v>
      </c>
      <c r="H34" s="2">
        <v>38.799999999999955</v>
      </c>
      <c r="I34" s="2">
        <v>75</v>
      </c>
      <c r="J34" s="8">
        <v>45929.561030092591</v>
      </c>
      <c r="K34" s="2">
        <v>16725</v>
      </c>
      <c r="L34" s="2">
        <v>13800</v>
      </c>
      <c r="M34" s="2">
        <v>875.73</v>
      </c>
      <c r="N34" s="2">
        <v>838</v>
      </c>
      <c r="O34" s="2">
        <v>942.4</v>
      </c>
      <c r="P34" s="2">
        <v>786.3</v>
      </c>
      <c r="Q34" s="2">
        <v>851.2</v>
      </c>
      <c r="R34" s="2">
        <v>854.15</v>
      </c>
      <c r="S34" s="2">
        <v>791.2</v>
      </c>
      <c r="T34" s="2">
        <v>6300</v>
      </c>
      <c r="U34" s="2">
        <v>124</v>
      </c>
      <c r="V34" s="2">
        <v>8</v>
      </c>
      <c r="W34" s="2">
        <v>816.25</v>
      </c>
      <c r="X34" s="2">
        <v>13.75</v>
      </c>
      <c r="Y34" s="2">
        <v>0.34814571770684849</v>
      </c>
      <c r="Z34" s="2">
        <v>0.96414990075920903</v>
      </c>
      <c r="AA34" s="2">
        <v>1.6861495039075365E-4</v>
      </c>
      <c r="AB34" s="2">
        <v>0.67852697130732109</v>
      </c>
      <c r="AC34" s="2">
        <v>-23.403951632172632</v>
      </c>
      <c r="AD34" s="2">
        <v>1.0579334894227679</v>
      </c>
      <c r="AE34" s="2">
        <v>23900</v>
      </c>
      <c r="AF34" s="2" t="s">
        <v>343</v>
      </c>
      <c r="AG34" s="2">
        <v>1.9</v>
      </c>
      <c r="AH34" s="2">
        <v>-1.6</v>
      </c>
      <c r="AI34" s="2">
        <v>75</v>
      </c>
      <c r="AJ34" s="8">
        <v>45929.569027777776</v>
      </c>
      <c r="AK34" s="2">
        <v>8387775</v>
      </c>
      <c r="AL34" s="2">
        <v>925575</v>
      </c>
      <c r="AM34" s="2">
        <v>2.2599999999999998</v>
      </c>
      <c r="AN34" s="2">
        <v>2.4</v>
      </c>
      <c r="AO34" s="2">
        <v>2.95</v>
      </c>
      <c r="AP34" s="2">
        <v>1.65</v>
      </c>
      <c r="AQ34" s="2">
        <v>1.85</v>
      </c>
      <c r="AR34" s="2">
        <v>1.9</v>
      </c>
      <c r="AS34" s="2">
        <v>3.5</v>
      </c>
      <c r="AT34" s="2">
        <v>54024600</v>
      </c>
      <c r="AU34" s="2">
        <v>57328</v>
      </c>
      <c r="AV34" s="2">
        <v>25244</v>
      </c>
      <c r="AW34" s="2">
        <v>-816.25</v>
      </c>
      <c r="AX34" s="2">
        <v>818.15</v>
      </c>
      <c r="AY34" s="2">
        <v>0.28501427579094579</v>
      </c>
      <c r="AZ34" s="2">
        <v>-1.4041013954437576E-2</v>
      </c>
      <c r="BA34" s="2">
        <v>9.3505333069972027E-5</v>
      </c>
      <c r="BB34" s="2">
        <v>-1.0294098101665282E-2</v>
      </c>
      <c r="BC34" s="2">
        <v>-6.2608097399632392</v>
      </c>
      <c r="BD34" s="2">
        <v>0.48029071655884104</v>
      </c>
      <c r="BF34" s="2" t="s">
        <v>69</v>
      </c>
      <c r="BG34" s="2" t="s">
        <v>98</v>
      </c>
      <c r="BH34" s="2">
        <v>34</v>
      </c>
    </row>
    <row r="35" spans="1:60" x14ac:dyDescent="0.2">
      <c r="A35" s="2" t="s">
        <v>157</v>
      </c>
      <c r="B35" s="2"/>
      <c r="C35" s="2"/>
      <c r="E35" s="2">
        <v>23950</v>
      </c>
      <c r="F35" s="2" t="s">
        <v>342</v>
      </c>
      <c r="G35" s="2">
        <v>742.95</v>
      </c>
      <c r="H35" s="2">
        <v>0</v>
      </c>
      <c r="I35" s="2">
        <v>75</v>
      </c>
      <c r="J35" s="8">
        <v>45926.641562500001</v>
      </c>
      <c r="K35" s="2">
        <v>14700</v>
      </c>
      <c r="L35" s="2">
        <v>10800</v>
      </c>
      <c r="M35" s="2">
        <v>0</v>
      </c>
      <c r="N35" s="2">
        <v>0</v>
      </c>
      <c r="O35" s="2">
        <v>0</v>
      </c>
      <c r="P35" s="2">
        <v>0</v>
      </c>
      <c r="Q35" s="2">
        <v>790.75</v>
      </c>
      <c r="R35" s="2">
        <v>814.8</v>
      </c>
      <c r="S35" s="2">
        <v>742.95</v>
      </c>
      <c r="T35" s="2">
        <v>0</v>
      </c>
      <c r="U35" s="2">
        <v>15</v>
      </c>
      <c r="V35" s="2">
        <v>0</v>
      </c>
      <c r="W35" s="2">
        <v>766.25</v>
      </c>
      <c r="X35" s="2">
        <v>-23.299999999999955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23950</v>
      </c>
      <c r="AF35" s="2" t="s">
        <v>343</v>
      </c>
      <c r="AG35" s="2">
        <v>2.0499999999999998</v>
      </c>
      <c r="AH35" s="2">
        <v>-1.8000000000000003</v>
      </c>
      <c r="AI35" s="2">
        <v>75</v>
      </c>
      <c r="AJ35" s="8">
        <v>45929.569027777776</v>
      </c>
      <c r="AK35" s="2">
        <v>6026625</v>
      </c>
      <c r="AL35" s="2">
        <v>443025</v>
      </c>
      <c r="AM35" s="2">
        <v>2.42</v>
      </c>
      <c r="AN35" s="2">
        <v>2.4500000000000002</v>
      </c>
      <c r="AO35" s="2">
        <v>3.1</v>
      </c>
      <c r="AP35" s="2">
        <v>1.75</v>
      </c>
      <c r="AQ35" s="2">
        <v>2</v>
      </c>
      <c r="AR35" s="2">
        <v>2.0499999999999998</v>
      </c>
      <c r="AS35" s="2">
        <v>3.85</v>
      </c>
      <c r="AT35" s="2">
        <v>33014700</v>
      </c>
      <c r="AU35" s="2">
        <v>21865</v>
      </c>
      <c r="AV35" s="2">
        <v>10416</v>
      </c>
      <c r="AW35" s="2">
        <v>-766.25</v>
      </c>
      <c r="AX35" s="2">
        <v>768.3</v>
      </c>
      <c r="AY35" s="2">
        <v>0.27269953280087611</v>
      </c>
      <c r="AZ35" s="2">
        <v>-1.563841509627617E-2</v>
      </c>
      <c r="BA35" s="2">
        <v>1.0721623282567211E-4</v>
      </c>
      <c r="BB35" s="2">
        <v>-1.1463273893849178E-2</v>
      </c>
      <c r="BC35" s="2">
        <v>-6.5657811989449195</v>
      </c>
      <c r="BD35" s="2">
        <v>0.52692180484722617</v>
      </c>
      <c r="BF35" s="2" t="s">
        <v>70</v>
      </c>
      <c r="BG35" s="2" t="s">
        <v>99</v>
      </c>
      <c r="BH35" s="2">
        <v>35</v>
      </c>
    </row>
    <row r="36" spans="1:60" x14ac:dyDescent="0.2">
      <c r="A36" s="2" t="s">
        <v>158</v>
      </c>
      <c r="B36" s="2"/>
      <c r="C36" s="2"/>
      <c r="E36" s="2">
        <v>24000</v>
      </c>
      <c r="F36" s="2" t="s">
        <v>342</v>
      </c>
      <c r="G36" s="2">
        <v>755</v>
      </c>
      <c r="H36" s="2">
        <v>62.5</v>
      </c>
      <c r="I36" s="2">
        <v>75</v>
      </c>
      <c r="J36" s="8">
        <v>45929.568958333337</v>
      </c>
      <c r="K36" s="2">
        <v>28800</v>
      </c>
      <c r="L36" s="2">
        <v>29925</v>
      </c>
      <c r="M36" s="2">
        <v>752.63</v>
      </c>
      <c r="N36" s="2">
        <v>748.1</v>
      </c>
      <c r="O36" s="2">
        <v>845.55</v>
      </c>
      <c r="P36" s="2">
        <v>649.54999999999995</v>
      </c>
      <c r="Q36" s="2">
        <v>752.45</v>
      </c>
      <c r="R36" s="2">
        <v>754.75</v>
      </c>
      <c r="S36" s="2">
        <v>692.5</v>
      </c>
      <c r="T36" s="2">
        <v>284325</v>
      </c>
      <c r="U36" s="2">
        <v>8320</v>
      </c>
      <c r="V36" s="2">
        <v>-208</v>
      </c>
      <c r="W36" s="2">
        <v>716.25</v>
      </c>
      <c r="X36" s="2">
        <v>38.75</v>
      </c>
      <c r="Y36" s="2">
        <v>0.4472497110808733</v>
      </c>
      <c r="Z36" s="2">
        <v>0.89155568019577547</v>
      </c>
      <c r="AA36" s="2">
        <v>3.0998791750370535E-4</v>
      </c>
      <c r="AB36" s="2">
        <v>0.62780720632645048</v>
      </c>
      <c r="AC36" s="2">
        <v>-57.720809134289468</v>
      </c>
      <c r="AD36" s="2">
        <v>2.4985959548432395</v>
      </c>
      <c r="AE36" s="2">
        <v>24000</v>
      </c>
      <c r="AF36" s="2" t="s">
        <v>343</v>
      </c>
      <c r="AG36" s="2">
        <v>2.2000000000000002</v>
      </c>
      <c r="AH36" s="2">
        <v>-2.1499999999999995</v>
      </c>
      <c r="AI36" s="2">
        <v>300</v>
      </c>
      <c r="AJ36" s="8">
        <v>45929.569027777776</v>
      </c>
      <c r="AK36" s="2">
        <v>10199925</v>
      </c>
      <c r="AL36" s="2">
        <v>1166700</v>
      </c>
      <c r="AM36" s="2">
        <v>2.5099999999999998</v>
      </c>
      <c r="AN36" s="2">
        <v>2.85</v>
      </c>
      <c r="AO36" s="2">
        <v>3.1</v>
      </c>
      <c r="AP36" s="2">
        <v>1.8</v>
      </c>
      <c r="AQ36" s="2">
        <v>2.15</v>
      </c>
      <c r="AR36" s="2">
        <v>2.2000000000000002</v>
      </c>
      <c r="AS36" s="2">
        <v>4.3499999999999996</v>
      </c>
      <c r="AT36" s="2">
        <v>82680000</v>
      </c>
      <c r="AU36" s="2">
        <v>172631</v>
      </c>
      <c r="AV36" s="2">
        <v>52638</v>
      </c>
      <c r="AW36" s="2">
        <v>-716.25</v>
      </c>
      <c r="AX36" s="2">
        <v>718.45</v>
      </c>
      <c r="AY36" s="2">
        <v>0.2599248521362556</v>
      </c>
      <c r="AZ36" s="2">
        <v>-1.7388715703865354E-2</v>
      </c>
      <c r="BA36" s="2">
        <v>1.2317948684162453E-4</v>
      </c>
      <c r="BB36" s="2">
        <v>-1.2743938587959126E-2</v>
      </c>
      <c r="BC36" s="2">
        <v>-6.8459294905348296</v>
      </c>
      <c r="BD36" s="2">
        <v>0.57701555326968179</v>
      </c>
      <c r="BF36" s="2" t="s">
        <v>71</v>
      </c>
      <c r="BG36" s="2" t="s">
        <v>24</v>
      </c>
      <c r="BH36" s="2">
        <v>36</v>
      </c>
    </row>
    <row r="37" spans="1:60" x14ac:dyDescent="0.2">
      <c r="A37" s="2" t="s">
        <v>159</v>
      </c>
      <c r="B37" s="2"/>
      <c r="C37" s="2"/>
      <c r="E37" s="2">
        <v>24050</v>
      </c>
      <c r="F37" s="2" t="s">
        <v>342</v>
      </c>
      <c r="G37" s="2">
        <v>636.29999999999995</v>
      </c>
      <c r="H37" s="2">
        <v>-6.6500000000000909</v>
      </c>
      <c r="I37" s="2">
        <v>75</v>
      </c>
      <c r="J37" s="8">
        <v>45929.547349537039</v>
      </c>
      <c r="K37" s="2">
        <v>19275</v>
      </c>
      <c r="L37" s="2">
        <v>12975</v>
      </c>
      <c r="M37" s="2">
        <v>737.13</v>
      </c>
      <c r="N37" s="2">
        <v>724.15</v>
      </c>
      <c r="O37" s="2">
        <v>782.35</v>
      </c>
      <c r="P37" s="2">
        <v>633.04999999999995</v>
      </c>
      <c r="Q37" s="2">
        <v>702.1</v>
      </c>
      <c r="R37" s="2">
        <v>704.45</v>
      </c>
      <c r="S37" s="2">
        <v>642.95000000000005</v>
      </c>
      <c r="T37" s="2">
        <v>3075</v>
      </c>
      <c r="U37" s="2">
        <v>48</v>
      </c>
      <c r="V37" s="2">
        <v>21</v>
      </c>
      <c r="W37" s="2">
        <v>666.25</v>
      </c>
      <c r="X37" s="2">
        <v>-29.950000000000045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24050</v>
      </c>
      <c r="AF37" s="2" t="s">
        <v>343</v>
      </c>
      <c r="AG37" s="2">
        <v>2.2000000000000002</v>
      </c>
      <c r="AH37" s="2">
        <v>-2.5499999999999998</v>
      </c>
      <c r="AI37" s="2">
        <v>75</v>
      </c>
      <c r="AJ37" s="8">
        <v>45929.569027777776</v>
      </c>
      <c r="AK37" s="2">
        <v>5449125</v>
      </c>
      <c r="AL37" s="2">
        <v>396375</v>
      </c>
      <c r="AM37" s="2">
        <v>2.63</v>
      </c>
      <c r="AN37" s="2">
        <v>3.6</v>
      </c>
      <c r="AO37" s="2">
        <v>3.65</v>
      </c>
      <c r="AP37" s="2">
        <v>1.05</v>
      </c>
      <c r="AQ37" s="2">
        <v>2.2000000000000002</v>
      </c>
      <c r="AR37" s="2">
        <v>2.25</v>
      </c>
      <c r="AS37" s="2">
        <v>4.75</v>
      </c>
      <c r="AT37" s="2">
        <v>27527850</v>
      </c>
      <c r="AU37" s="2">
        <v>12430</v>
      </c>
      <c r="AV37" s="2">
        <v>976</v>
      </c>
      <c r="AW37" s="2">
        <v>-666.25</v>
      </c>
      <c r="AX37" s="2">
        <v>668.45</v>
      </c>
      <c r="AY37" s="2">
        <v>0.24428339328289164</v>
      </c>
      <c r="AZ37" s="2">
        <v>-1.8382068738990953E-2</v>
      </c>
      <c r="BA37" s="2">
        <v>1.3742641741320037E-4</v>
      </c>
      <c r="BB37" s="2">
        <v>-1.3468241653696762E-2</v>
      </c>
      <c r="BC37" s="2">
        <v>-6.7377069863325856</v>
      </c>
      <c r="BD37" s="2">
        <v>0.60501394185050072</v>
      </c>
      <c r="BF37" s="2" t="s">
        <v>72</v>
      </c>
      <c r="BG37" s="2" t="s">
        <v>25</v>
      </c>
      <c r="BH37" s="2">
        <v>37</v>
      </c>
    </row>
    <row r="38" spans="1:60" x14ac:dyDescent="0.2">
      <c r="A38" s="2" t="s">
        <v>160</v>
      </c>
      <c r="B38" s="2"/>
      <c r="C38" s="2"/>
      <c r="E38" s="2">
        <v>24100</v>
      </c>
      <c r="F38" s="2" t="s">
        <v>342</v>
      </c>
      <c r="G38" s="2">
        <v>652</v>
      </c>
      <c r="H38" s="2">
        <v>57.600000000000023</v>
      </c>
      <c r="I38" s="2">
        <v>75</v>
      </c>
      <c r="J38" s="8">
        <v>45929.567754629628</v>
      </c>
      <c r="K38" s="2">
        <v>63975</v>
      </c>
      <c r="L38" s="2">
        <v>19200</v>
      </c>
      <c r="M38" s="2">
        <v>646.38</v>
      </c>
      <c r="N38" s="2">
        <v>668.55</v>
      </c>
      <c r="O38" s="2">
        <v>745.9</v>
      </c>
      <c r="P38" s="2">
        <v>553.15</v>
      </c>
      <c r="Q38" s="2">
        <v>651.9</v>
      </c>
      <c r="R38" s="2">
        <v>654.04999999999995</v>
      </c>
      <c r="S38" s="2">
        <v>594.4</v>
      </c>
      <c r="T38" s="2">
        <v>28725</v>
      </c>
      <c r="U38" s="2">
        <v>272</v>
      </c>
      <c r="V38" s="2">
        <v>49</v>
      </c>
      <c r="W38" s="2">
        <v>616.25</v>
      </c>
      <c r="X38" s="2">
        <v>35.75</v>
      </c>
      <c r="Y38" s="2">
        <v>0.38996424620869147</v>
      </c>
      <c r="Z38" s="2">
        <v>0.88812009029242045</v>
      </c>
      <c r="AA38" s="2">
        <v>3.6356852063885396E-4</v>
      </c>
      <c r="AB38" s="2">
        <v>0.62834096597517619</v>
      </c>
      <c r="AC38" s="2">
        <v>-52.103067751232281</v>
      </c>
      <c r="AD38" s="2">
        <v>2.5551265890431911</v>
      </c>
      <c r="AE38" s="2">
        <v>24100</v>
      </c>
      <c r="AF38" s="2" t="s">
        <v>343</v>
      </c>
      <c r="AG38" s="2">
        <v>2.35</v>
      </c>
      <c r="AH38" s="2">
        <v>-2.9</v>
      </c>
      <c r="AI38" s="2">
        <v>450</v>
      </c>
      <c r="AJ38" s="8">
        <v>45929.569027777776</v>
      </c>
      <c r="AK38" s="2">
        <v>5921850</v>
      </c>
      <c r="AL38" s="2">
        <v>525375</v>
      </c>
      <c r="AM38" s="2">
        <v>2.73</v>
      </c>
      <c r="AN38" s="2">
        <v>3.65</v>
      </c>
      <c r="AO38" s="2">
        <v>3.65</v>
      </c>
      <c r="AP38" s="2">
        <v>1.85</v>
      </c>
      <c r="AQ38" s="2">
        <v>2.35</v>
      </c>
      <c r="AR38" s="2">
        <v>2.4</v>
      </c>
      <c r="AS38" s="2">
        <v>5.25</v>
      </c>
      <c r="AT38" s="2">
        <v>42392925</v>
      </c>
      <c r="AU38" s="2">
        <v>38764</v>
      </c>
      <c r="AV38" s="2">
        <v>7115</v>
      </c>
      <c r="AW38" s="2">
        <v>-616.25</v>
      </c>
      <c r="AX38" s="2">
        <v>618.6</v>
      </c>
      <c r="AY38" s="2">
        <v>0.23085253291455735</v>
      </c>
      <c r="AZ38" s="2">
        <v>-2.0502048090833447E-2</v>
      </c>
      <c r="BA38" s="2">
        <v>1.5955170480756845E-4</v>
      </c>
      <c r="BB38" s="2">
        <v>-1.5018457064541666E-2</v>
      </c>
      <c r="BC38" s="2">
        <v>-6.976149727300232</v>
      </c>
      <c r="BD38" s="2">
        <v>0.66380013711987207</v>
      </c>
      <c r="BF38" s="2" t="s">
        <v>73</v>
      </c>
      <c r="BG38" s="2" t="s">
        <v>26</v>
      </c>
      <c r="BH38" s="2">
        <v>38</v>
      </c>
    </row>
    <row r="39" spans="1:60" x14ac:dyDescent="0.2">
      <c r="A39" s="2" t="s">
        <v>161</v>
      </c>
      <c r="B39" s="2"/>
      <c r="C39" s="2"/>
      <c r="E39" s="2">
        <v>24150</v>
      </c>
      <c r="F39" s="2" t="s">
        <v>342</v>
      </c>
      <c r="G39" s="2">
        <v>602.54999999999995</v>
      </c>
      <c r="H39" s="2">
        <v>57.199999999999932</v>
      </c>
      <c r="I39" s="2">
        <v>225</v>
      </c>
      <c r="J39" s="8">
        <v>45929.56894675926</v>
      </c>
      <c r="K39" s="2">
        <v>272025</v>
      </c>
      <c r="L39" s="2">
        <v>13350</v>
      </c>
      <c r="M39" s="2">
        <v>592.71</v>
      </c>
      <c r="N39" s="2">
        <v>612.35</v>
      </c>
      <c r="O39" s="2">
        <v>685.05</v>
      </c>
      <c r="P39" s="2">
        <v>509</v>
      </c>
      <c r="Q39" s="2">
        <v>602.4</v>
      </c>
      <c r="R39" s="2">
        <v>604.29999999999995</v>
      </c>
      <c r="S39" s="2">
        <v>545.35</v>
      </c>
      <c r="T39" s="2">
        <v>13725</v>
      </c>
      <c r="U39" s="2">
        <v>294</v>
      </c>
      <c r="V39" s="2">
        <v>51</v>
      </c>
      <c r="W39" s="2">
        <v>566.25</v>
      </c>
      <c r="X39" s="2">
        <v>36.299999999999955</v>
      </c>
      <c r="Y39" s="2">
        <v>0.36916025950145581</v>
      </c>
      <c r="Z39" s="2">
        <v>0.88112436041015352</v>
      </c>
      <c r="AA39" s="2">
        <v>4.0097536579510544E-4</v>
      </c>
      <c r="AB39" s="2">
        <v>0.62469876728997942</v>
      </c>
      <c r="AC39" s="2">
        <v>-51.530325292881507</v>
      </c>
      <c r="AD39" s="2">
        <v>2.6676813276271392</v>
      </c>
      <c r="AE39" s="2">
        <v>24150</v>
      </c>
      <c r="AF39" s="2" t="s">
        <v>343</v>
      </c>
      <c r="AG39" s="2">
        <v>2.65</v>
      </c>
      <c r="AH39" s="2">
        <v>-3.5000000000000004</v>
      </c>
      <c r="AI39" s="2">
        <v>300</v>
      </c>
      <c r="AJ39" s="8">
        <v>45929.568993055553</v>
      </c>
      <c r="AK39" s="2">
        <v>5020575</v>
      </c>
      <c r="AL39" s="2">
        <v>398775</v>
      </c>
      <c r="AM39" s="2">
        <v>2.93</v>
      </c>
      <c r="AN39" s="2">
        <v>4.1500000000000004</v>
      </c>
      <c r="AO39" s="2">
        <v>4.1500000000000004</v>
      </c>
      <c r="AP39" s="2">
        <v>1.9</v>
      </c>
      <c r="AQ39" s="2">
        <v>2.6</v>
      </c>
      <c r="AR39" s="2">
        <v>2.65</v>
      </c>
      <c r="AS39" s="2">
        <v>6.15</v>
      </c>
      <c r="AT39" s="2">
        <v>31032525</v>
      </c>
      <c r="AU39" s="2">
        <v>20396</v>
      </c>
      <c r="AV39" s="2">
        <v>2206</v>
      </c>
      <c r="AW39" s="2">
        <v>-566.25</v>
      </c>
      <c r="AX39" s="2">
        <v>568.9</v>
      </c>
      <c r="AY39" s="2">
        <v>0.21900377289401946</v>
      </c>
      <c r="AZ39" s="2">
        <v>-2.3899436617278114E-2</v>
      </c>
      <c r="BA39" s="2">
        <v>1.9141794153379265E-4</v>
      </c>
      <c r="BB39" s="2">
        <v>-1.7504526171996219E-2</v>
      </c>
      <c r="BC39" s="2">
        <v>-7.5203893806769271</v>
      </c>
      <c r="BD39" s="2">
        <v>0.75550188533467566</v>
      </c>
      <c r="BF39" s="2" t="s">
        <v>74</v>
      </c>
      <c r="BG39" s="2" t="s">
        <v>100</v>
      </c>
      <c r="BH39" s="2">
        <v>39</v>
      </c>
    </row>
    <row r="40" spans="1:60" x14ac:dyDescent="0.2">
      <c r="A40" s="2" t="s">
        <v>162</v>
      </c>
      <c r="B40" s="2"/>
      <c r="C40" s="2"/>
      <c r="E40" s="2">
        <v>24200</v>
      </c>
      <c r="F40" s="2" t="s">
        <v>342</v>
      </c>
      <c r="G40" s="2">
        <v>552.79999999999995</v>
      </c>
      <c r="H40" s="2">
        <v>53.549999999999955</v>
      </c>
      <c r="I40" s="2">
        <v>300</v>
      </c>
      <c r="J40" s="8">
        <v>45929.568888888891</v>
      </c>
      <c r="K40" s="2">
        <v>424350</v>
      </c>
      <c r="L40" s="2">
        <v>20550</v>
      </c>
      <c r="M40" s="2">
        <v>541.99</v>
      </c>
      <c r="N40" s="2">
        <v>564.25</v>
      </c>
      <c r="O40" s="2">
        <v>645.5</v>
      </c>
      <c r="P40" s="2">
        <v>450.9</v>
      </c>
      <c r="Q40" s="2">
        <v>553.35</v>
      </c>
      <c r="R40" s="2">
        <v>555.15</v>
      </c>
      <c r="S40" s="2">
        <v>499.25</v>
      </c>
      <c r="T40" s="2">
        <v>143625</v>
      </c>
      <c r="U40" s="2">
        <v>870</v>
      </c>
      <c r="V40" s="2">
        <v>75</v>
      </c>
      <c r="W40" s="2">
        <v>516.25</v>
      </c>
      <c r="X40" s="2">
        <v>36.549999999999955</v>
      </c>
      <c r="Y40" s="2">
        <v>0.34682740448699384</v>
      </c>
      <c r="Z40" s="2">
        <v>0.87402058454435338</v>
      </c>
      <c r="AA40" s="2">
        <v>4.4453904276088238E-4</v>
      </c>
      <c r="AB40" s="2">
        <v>0.62098655602480779</v>
      </c>
      <c r="AC40" s="2">
        <v>-50.515599641849271</v>
      </c>
      <c r="AD40" s="2">
        <v>2.7785903904039673</v>
      </c>
      <c r="AE40" s="2">
        <v>24200</v>
      </c>
      <c r="AF40" s="2" t="s">
        <v>343</v>
      </c>
      <c r="AG40" s="2">
        <v>2.75</v>
      </c>
      <c r="AH40" s="2">
        <v>-4.5</v>
      </c>
      <c r="AI40" s="2">
        <v>150</v>
      </c>
      <c r="AJ40" s="8">
        <v>45929.569027777776</v>
      </c>
      <c r="AK40" s="2">
        <v>5983275</v>
      </c>
      <c r="AL40" s="2">
        <v>742875</v>
      </c>
      <c r="AM40" s="2">
        <v>3.17</v>
      </c>
      <c r="AN40" s="2">
        <v>4.55</v>
      </c>
      <c r="AO40" s="2">
        <v>4.55</v>
      </c>
      <c r="AP40" s="2">
        <v>2.2999999999999998</v>
      </c>
      <c r="AQ40" s="2">
        <v>2.75</v>
      </c>
      <c r="AR40" s="2">
        <v>2.8</v>
      </c>
      <c r="AS40" s="2">
        <v>7.25</v>
      </c>
      <c r="AT40" s="2">
        <v>60188100</v>
      </c>
      <c r="AU40" s="2">
        <v>98244</v>
      </c>
      <c r="AV40" s="2">
        <v>19297</v>
      </c>
      <c r="AW40" s="2">
        <v>-516.25</v>
      </c>
      <c r="AX40" s="2">
        <v>519</v>
      </c>
      <c r="AY40" s="2">
        <v>0.20390916493018768</v>
      </c>
      <c r="AZ40" s="2">
        <v>-2.6307588094064749E-2</v>
      </c>
      <c r="BA40" s="2">
        <v>2.228157915896514E-4</v>
      </c>
      <c r="BB40" s="2">
        <v>-1.9263389122744203E-2</v>
      </c>
      <c r="BC40" s="2">
        <v>-7.5739594835681592</v>
      </c>
      <c r="BD40" s="2">
        <v>0.8188117495510927</v>
      </c>
      <c r="BF40" s="2" t="s">
        <v>75</v>
      </c>
      <c r="BG40" s="2" t="s">
        <v>101</v>
      </c>
      <c r="BH40" s="2">
        <v>40</v>
      </c>
    </row>
    <row r="41" spans="1:60" x14ac:dyDescent="0.2">
      <c r="A41" s="2" t="s">
        <v>163</v>
      </c>
      <c r="B41" s="2"/>
      <c r="C41" s="2"/>
      <c r="E41" s="2">
        <v>24250</v>
      </c>
      <c r="F41" s="2" t="s">
        <v>342</v>
      </c>
      <c r="G41" s="2">
        <v>502.9</v>
      </c>
      <c r="H41" s="2">
        <v>54.799999999999955</v>
      </c>
      <c r="I41" s="2">
        <v>75</v>
      </c>
      <c r="J41" s="8">
        <v>45929.568749999999</v>
      </c>
      <c r="K41" s="2">
        <v>81075</v>
      </c>
      <c r="L41" s="2">
        <v>20850</v>
      </c>
      <c r="M41" s="2">
        <v>491.13</v>
      </c>
      <c r="N41" s="2">
        <v>513.25</v>
      </c>
      <c r="O41" s="2">
        <v>591.75</v>
      </c>
      <c r="P41" s="2">
        <v>401.8</v>
      </c>
      <c r="Q41" s="2">
        <v>502.55</v>
      </c>
      <c r="R41" s="2">
        <v>504.4</v>
      </c>
      <c r="S41" s="2">
        <v>448.1</v>
      </c>
      <c r="T41" s="2">
        <v>53175</v>
      </c>
      <c r="U41" s="2">
        <v>358</v>
      </c>
      <c r="V41" s="2">
        <v>71</v>
      </c>
      <c r="W41" s="2">
        <v>466.25</v>
      </c>
      <c r="X41" s="2">
        <v>36.649999999999977</v>
      </c>
      <c r="Y41" s="2">
        <v>0.32357599290203704</v>
      </c>
      <c r="Z41" s="2">
        <v>0.86632324575784692</v>
      </c>
      <c r="AA41" s="2">
        <v>4.9645772803460966E-4</v>
      </c>
      <c r="AB41" s="2">
        <v>0.6168461375299038</v>
      </c>
      <c r="AC41" s="2">
        <v>-49.227380570164222</v>
      </c>
      <c r="AD41" s="2">
        <v>2.8950748490700882</v>
      </c>
      <c r="AE41" s="2">
        <v>24250</v>
      </c>
      <c r="AF41" s="2" t="s">
        <v>343</v>
      </c>
      <c r="AG41" s="2">
        <v>3</v>
      </c>
      <c r="AH41" s="2">
        <v>-5.8000000000000007</v>
      </c>
      <c r="AI41" s="2">
        <v>75</v>
      </c>
      <c r="AJ41" s="8">
        <v>45929.569039351853</v>
      </c>
      <c r="AK41" s="2">
        <v>4572300</v>
      </c>
      <c r="AL41" s="2">
        <v>338325</v>
      </c>
      <c r="AM41" s="2">
        <v>3.67</v>
      </c>
      <c r="AN41" s="2">
        <v>5.8</v>
      </c>
      <c r="AO41" s="2">
        <v>5.8</v>
      </c>
      <c r="AP41" s="2">
        <v>2.7</v>
      </c>
      <c r="AQ41" s="2">
        <v>3</v>
      </c>
      <c r="AR41" s="2">
        <v>3.05</v>
      </c>
      <c r="AS41" s="2">
        <v>8.8000000000000007</v>
      </c>
      <c r="AT41" s="2">
        <v>36636675</v>
      </c>
      <c r="AU41" s="2">
        <v>28652</v>
      </c>
      <c r="AV41" s="2">
        <v>9698</v>
      </c>
      <c r="AW41" s="2">
        <v>-466.25</v>
      </c>
      <c r="AX41" s="2">
        <v>469.25</v>
      </c>
      <c r="AY41" s="2">
        <v>0.19014447318047364</v>
      </c>
      <c r="AZ41" s="2">
        <v>-3.0208421823912923E-2</v>
      </c>
      <c r="BA41" s="2">
        <v>2.6809286529943616E-4</v>
      </c>
      <c r="BB41" s="2">
        <v>-2.2115064187264017E-2</v>
      </c>
      <c r="BC41" s="2">
        <v>-7.9060035951814829</v>
      </c>
      <c r="BD41" s="2">
        <v>0.91869257782487268</v>
      </c>
      <c r="BF41" s="2" t="s">
        <v>76</v>
      </c>
      <c r="BG41" s="2" t="s">
        <v>88</v>
      </c>
      <c r="BH41" s="2">
        <v>41</v>
      </c>
    </row>
    <row r="42" spans="1:60" x14ac:dyDescent="0.2">
      <c r="A42" s="2" t="s">
        <v>164</v>
      </c>
      <c r="B42" s="2"/>
      <c r="C42" s="2"/>
      <c r="E42" s="2">
        <v>24300</v>
      </c>
      <c r="F42" s="2" t="s">
        <v>342</v>
      </c>
      <c r="G42" s="2">
        <v>453.65</v>
      </c>
      <c r="H42" s="2">
        <v>53.5</v>
      </c>
      <c r="I42" s="2">
        <v>75</v>
      </c>
      <c r="J42" s="8">
        <v>45929.568993055553</v>
      </c>
      <c r="K42" s="2">
        <v>142350</v>
      </c>
      <c r="L42" s="2">
        <v>32475</v>
      </c>
      <c r="M42" s="2">
        <v>427.48</v>
      </c>
      <c r="N42" s="2">
        <v>429</v>
      </c>
      <c r="O42" s="2">
        <v>547</v>
      </c>
      <c r="P42" s="2">
        <v>352.2</v>
      </c>
      <c r="Q42" s="2">
        <v>453.6</v>
      </c>
      <c r="R42" s="2">
        <v>454.65</v>
      </c>
      <c r="S42" s="2">
        <v>400.15</v>
      </c>
      <c r="T42" s="2">
        <v>618600</v>
      </c>
      <c r="U42" s="2">
        <v>1319</v>
      </c>
      <c r="V42" s="2">
        <v>128</v>
      </c>
      <c r="W42" s="2">
        <v>416.25</v>
      </c>
      <c r="X42" s="2">
        <v>37.399999999999977</v>
      </c>
      <c r="Y42" s="2">
        <v>0.30205510506971978</v>
      </c>
      <c r="Z42" s="2">
        <v>0.85575658870840732</v>
      </c>
      <c r="AA42" s="2">
        <v>5.6010574971506952E-4</v>
      </c>
      <c r="AB42" s="2">
        <v>0.61059444045742717</v>
      </c>
      <c r="AC42" s="2">
        <v>-48.435159692180157</v>
      </c>
      <c r="AD42" s="2">
        <v>3.0490005575395958</v>
      </c>
      <c r="AE42" s="2">
        <v>24300</v>
      </c>
      <c r="AF42" s="2" t="s">
        <v>343</v>
      </c>
      <c r="AG42" s="2">
        <v>3.55</v>
      </c>
      <c r="AH42" s="2">
        <v>-7.2</v>
      </c>
      <c r="AI42" s="2">
        <v>300</v>
      </c>
      <c r="AJ42" s="8">
        <v>45929.569027777776</v>
      </c>
      <c r="AK42" s="2">
        <v>5670600</v>
      </c>
      <c r="AL42" s="2">
        <v>903900</v>
      </c>
      <c r="AM42" s="2">
        <v>4.3499999999999996</v>
      </c>
      <c r="AN42" s="2">
        <v>6.4</v>
      </c>
      <c r="AO42" s="2">
        <v>6.45</v>
      </c>
      <c r="AP42" s="2">
        <v>3.25</v>
      </c>
      <c r="AQ42" s="2">
        <v>3.5</v>
      </c>
      <c r="AR42" s="2">
        <v>3.55</v>
      </c>
      <c r="AS42" s="2">
        <v>10.75</v>
      </c>
      <c r="AT42" s="2">
        <v>77926725</v>
      </c>
      <c r="AU42" s="2">
        <v>73824</v>
      </c>
      <c r="AV42" s="2">
        <v>21245</v>
      </c>
      <c r="AW42" s="2">
        <v>-416.25</v>
      </c>
      <c r="AX42" s="2">
        <v>419.8</v>
      </c>
      <c r="AY42" s="2">
        <v>0.17854077314067654</v>
      </c>
      <c r="AZ42" s="2">
        <v>-3.6990914257054475E-2</v>
      </c>
      <c r="BA42" s="2">
        <v>3.373289180991352E-4</v>
      </c>
      <c r="BB42" s="2">
        <v>-2.7076768428488E-2</v>
      </c>
      <c r="BC42" s="2">
        <v>-8.7470525111340685</v>
      </c>
      <c r="BD42" s="2">
        <v>1.085406189784232</v>
      </c>
      <c r="BF42" s="2" t="s">
        <v>77</v>
      </c>
      <c r="BG42" s="2" t="s">
        <v>102</v>
      </c>
      <c r="BH42" s="2">
        <v>42</v>
      </c>
    </row>
    <row r="43" spans="1:60" x14ac:dyDescent="0.2">
      <c r="A43" s="2" t="s">
        <v>165</v>
      </c>
      <c r="B43" s="2"/>
      <c r="C43" s="2"/>
      <c r="E43" s="2">
        <v>24350</v>
      </c>
      <c r="F43" s="2" t="s">
        <v>342</v>
      </c>
      <c r="G43" s="2">
        <v>398</v>
      </c>
      <c r="H43" s="2">
        <v>43</v>
      </c>
      <c r="I43" s="2">
        <v>75</v>
      </c>
      <c r="J43" s="8">
        <v>45929.568668981483</v>
      </c>
      <c r="K43" s="2">
        <v>54450</v>
      </c>
      <c r="L43" s="2">
        <v>22800</v>
      </c>
      <c r="M43" s="2">
        <v>389.68</v>
      </c>
      <c r="N43" s="2">
        <v>423.45</v>
      </c>
      <c r="O43" s="2">
        <v>497.7</v>
      </c>
      <c r="P43" s="2">
        <v>305.3</v>
      </c>
      <c r="Q43" s="2">
        <v>403.8</v>
      </c>
      <c r="R43" s="2">
        <v>404.85</v>
      </c>
      <c r="S43" s="2">
        <v>355</v>
      </c>
      <c r="T43" s="2">
        <v>326400</v>
      </c>
      <c r="U43" s="2">
        <v>681</v>
      </c>
      <c r="V43" s="2">
        <v>156</v>
      </c>
      <c r="W43" s="2">
        <v>366.25</v>
      </c>
      <c r="X43" s="2">
        <v>31.75</v>
      </c>
      <c r="Y43" s="2">
        <v>0.25915395172546452</v>
      </c>
      <c r="Z43" s="2">
        <v>0.86183694430000046</v>
      </c>
      <c r="AA43" s="2">
        <v>6.3404021579261207E-4</v>
      </c>
      <c r="AB43" s="2">
        <v>0.61666951672801484</v>
      </c>
      <c r="AC43" s="2">
        <v>-41.361789566957626</v>
      </c>
      <c r="AD43" s="2">
        <v>2.9612550832553355</v>
      </c>
      <c r="AE43" s="2">
        <v>24350</v>
      </c>
      <c r="AF43" s="2" t="s">
        <v>343</v>
      </c>
      <c r="AG43" s="2">
        <v>4.1500000000000004</v>
      </c>
      <c r="AH43" s="2">
        <v>-9.5</v>
      </c>
      <c r="AI43" s="2">
        <v>150</v>
      </c>
      <c r="AJ43" s="8">
        <v>45929.569027777776</v>
      </c>
      <c r="AK43" s="2">
        <v>4752525</v>
      </c>
      <c r="AL43" s="2">
        <v>750525</v>
      </c>
      <c r="AM43" s="2">
        <v>5.49</v>
      </c>
      <c r="AN43" s="2">
        <v>9.6999999999999993</v>
      </c>
      <c r="AO43" s="2">
        <v>9.6999999999999993</v>
      </c>
      <c r="AP43" s="2">
        <v>4.05</v>
      </c>
      <c r="AQ43" s="2">
        <v>4.0999999999999996</v>
      </c>
      <c r="AR43" s="2">
        <v>4.1500000000000004</v>
      </c>
      <c r="AS43" s="2">
        <v>13.65</v>
      </c>
      <c r="AT43" s="2">
        <v>64674825</v>
      </c>
      <c r="AU43" s="2">
        <v>41969</v>
      </c>
      <c r="AV43" s="2">
        <v>21222</v>
      </c>
      <c r="AW43" s="2">
        <v>-366.25</v>
      </c>
      <c r="AX43" s="2">
        <v>370.4</v>
      </c>
      <c r="AY43" s="2">
        <v>0.16592922262035534</v>
      </c>
      <c r="AZ43" s="2">
        <v>-4.5157198064270543E-2</v>
      </c>
      <c r="BA43" s="2">
        <v>4.2672009146676142E-4</v>
      </c>
      <c r="BB43" s="2">
        <v>-3.3048938933324577E-2</v>
      </c>
      <c r="BC43" s="2">
        <v>-9.5248348944287908</v>
      </c>
      <c r="BD43" s="2">
        <v>1.2760487388702377</v>
      </c>
      <c r="BF43" s="2" t="s">
        <v>78</v>
      </c>
      <c r="BG43" s="2" t="s">
        <v>103</v>
      </c>
      <c r="BH43" s="2">
        <v>43</v>
      </c>
    </row>
    <row r="44" spans="1:60" x14ac:dyDescent="0.2">
      <c r="A44" s="2" t="s">
        <v>166</v>
      </c>
      <c r="B44" s="2"/>
      <c r="C44" s="2"/>
      <c r="E44" s="2">
        <v>24400</v>
      </c>
      <c r="F44" s="2" t="s">
        <v>342</v>
      </c>
      <c r="G44" s="2">
        <v>356.05</v>
      </c>
      <c r="H44" s="2">
        <v>48.050000000000011</v>
      </c>
      <c r="I44" s="2">
        <v>75</v>
      </c>
      <c r="J44" s="8">
        <v>45929.568981481483</v>
      </c>
      <c r="K44" s="2">
        <v>172350</v>
      </c>
      <c r="L44" s="2">
        <v>44625</v>
      </c>
      <c r="M44" s="2">
        <v>337.92</v>
      </c>
      <c r="N44" s="2">
        <v>359.95</v>
      </c>
      <c r="O44" s="2">
        <v>447</v>
      </c>
      <c r="P44" s="2">
        <v>257.60000000000002</v>
      </c>
      <c r="Q44" s="2">
        <v>355.85</v>
      </c>
      <c r="R44" s="2">
        <v>356.65</v>
      </c>
      <c r="S44" s="2">
        <v>308</v>
      </c>
      <c r="T44" s="2">
        <v>2785425</v>
      </c>
      <c r="U44" s="2">
        <v>3760</v>
      </c>
      <c r="V44" s="2">
        <v>-2590</v>
      </c>
      <c r="W44" s="2">
        <v>316.25</v>
      </c>
      <c r="X44" s="2">
        <v>39.800000000000011</v>
      </c>
      <c r="Y44" s="2">
        <v>0.25948575326189693</v>
      </c>
      <c r="Z44" s="2">
        <v>0.82682473340348561</v>
      </c>
      <c r="AA44" s="2">
        <v>7.350780252603252E-4</v>
      </c>
      <c r="AB44" s="2">
        <v>0.59237783341264805</v>
      </c>
      <c r="AC44" s="2">
        <v>-46.920659993919912</v>
      </c>
      <c r="AD44" s="2">
        <v>3.4375430174188519</v>
      </c>
      <c r="AE44" s="2">
        <v>24400</v>
      </c>
      <c r="AF44" s="2" t="s">
        <v>343</v>
      </c>
      <c r="AG44" s="2">
        <v>5.2</v>
      </c>
      <c r="AH44" s="2">
        <v>-12.45</v>
      </c>
      <c r="AI44" s="2">
        <v>75</v>
      </c>
      <c r="AJ44" s="8">
        <v>45929.569039351853</v>
      </c>
      <c r="AK44" s="2">
        <v>5625000</v>
      </c>
      <c r="AL44" s="2">
        <v>1151775</v>
      </c>
      <c r="AM44" s="2">
        <v>7.32</v>
      </c>
      <c r="AN44" s="2">
        <v>10.7</v>
      </c>
      <c r="AO44" s="2">
        <v>12.6</v>
      </c>
      <c r="AP44" s="2">
        <v>5.05</v>
      </c>
      <c r="AQ44" s="2">
        <v>5.15</v>
      </c>
      <c r="AR44" s="2">
        <v>5.2</v>
      </c>
      <c r="AS44" s="2">
        <v>17.649999999999999</v>
      </c>
      <c r="AT44" s="2">
        <v>133119075</v>
      </c>
      <c r="AU44" s="2">
        <v>98543</v>
      </c>
      <c r="AV44" s="2">
        <v>24992</v>
      </c>
      <c r="AW44" s="2">
        <v>-316.25</v>
      </c>
      <c r="AX44" s="2">
        <v>321.45</v>
      </c>
      <c r="AY44" s="2">
        <v>0.15487854381255722</v>
      </c>
      <c r="AZ44" s="2">
        <v>-5.81932421375283E-2</v>
      </c>
      <c r="BA44" s="2">
        <v>5.5935560152956529E-4</v>
      </c>
      <c r="BB44" s="2">
        <v>-4.2585191464852352E-2</v>
      </c>
      <c r="BC44" s="2">
        <v>-10.832784287728446</v>
      </c>
      <c r="BD44" s="2">
        <v>1.5612792599680476</v>
      </c>
      <c r="BF44" s="2" t="s">
        <v>79</v>
      </c>
      <c r="BG44" s="2" t="s">
        <v>104</v>
      </c>
      <c r="BH44" s="2">
        <v>44</v>
      </c>
    </row>
    <row r="45" spans="1:60" x14ac:dyDescent="0.2">
      <c r="A45" s="2" t="s">
        <v>167</v>
      </c>
      <c r="B45" s="2"/>
      <c r="C45" s="2"/>
      <c r="E45" s="2">
        <v>24450</v>
      </c>
      <c r="F45" s="2" t="s">
        <v>342</v>
      </c>
      <c r="G45" s="2">
        <v>308.39999999999998</v>
      </c>
      <c r="H45" s="2">
        <v>45.849999999999966</v>
      </c>
      <c r="I45" s="2">
        <v>75</v>
      </c>
      <c r="J45" s="8">
        <v>45929.568969907406</v>
      </c>
      <c r="K45" s="2">
        <v>161925</v>
      </c>
      <c r="L45" s="2">
        <v>53700</v>
      </c>
      <c r="M45" s="2">
        <v>286.97000000000003</v>
      </c>
      <c r="N45" s="2">
        <v>313.95</v>
      </c>
      <c r="O45" s="2">
        <v>398.2</v>
      </c>
      <c r="P45" s="2">
        <v>213</v>
      </c>
      <c r="Q45" s="2">
        <v>307.55</v>
      </c>
      <c r="R45" s="2">
        <v>308.25</v>
      </c>
      <c r="S45" s="2">
        <v>262.55</v>
      </c>
      <c r="T45" s="2">
        <v>2088975</v>
      </c>
      <c r="U45" s="2">
        <v>1673</v>
      </c>
      <c r="V45" s="2">
        <v>472</v>
      </c>
      <c r="W45" s="2">
        <v>266.25</v>
      </c>
      <c r="X45" s="2">
        <v>42.149999999999977</v>
      </c>
      <c r="Y45" s="2">
        <v>0.23979402100227448</v>
      </c>
      <c r="Z45" s="2">
        <v>0.80530818082442868</v>
      </c>
      <c r="AA45" s="2">
        <v>8.5564585659591013E-4</v>
      </c>
      <c r="AB45" s="2">
        <v>0.57809492261439932</v>
      </c>
      <c r="AC45" s="2">
        <v>-46.541762920663132</v>
      </c>
      <c r="AD45" s="2">
        <v>3.6977177200017031</v>
      </c>
      <c r="AE45" s="2">
        <v>24450</v>
      </c>
      <c r="AF45" s="2" t="s">
        <v>343</v>
      </c>
      <c r="AG45" s="2">
        <v>6.9</v>
      </c>
      <c r="AH45" s="2">
        <v>-16.049999999999997</v>
      </c>
      <c r="AI45" s="2">
        <v>75</v>
      </c>
      <c r="AJ45" s="8">
        <v>45929.569027777776</v>
      </c>
      <c r="AK45" s="2">
        <v>4636875</v>
      </c>
      <c r="AL45" s="2">
        <v>1046250</v>
      </c>
      <c r="AM45" s="2">
        <v>10.19</v>
      </c>
      <c r="AN45" s="2">
        <v>15.9</v>
      </c>
      <c r="AO45" s="2">
        <v>16.850000000000001</v>
      </c>
      <c r="AP45" s="2">
        <v>6.05</v>
      </c>
      <c r="AQ45" s="2">
        <v>6.9</v>
      </c>
      <c r="AR45" s="2">
        <v>6.95</v>
      </c>
      <c r="AS45" s="2">
        <v>22.95</v>
      </c>
      <c r="AT45" s="2">
        <v>113899575</v>
      </c>
      <c r="AU45" s="2">
        <v>60528</v>
      </c>
      <c r="AV45" s="2">
        <v>21216</v>
      </c>
      <c r="AW45" s="2">
        <v>-266.25</v>
      </c>
      <c r="AX45" s="2">
        <v>273.14999999999998</v>
      </c>
      <c r="AY45" s="2">
        <v>0.14498858456021177</v>
      </c>
      <c r="AZ45" s="2">
        <v>-7.8282013788109284E-2</v>
      </c>
      <c r="BA45" s="2">
        <v>7.5134387345236091E-4</v>
      </c>
      <c r="BB45" s="2">
        <v>-5.7283116542255839E-2</v>
      </c>
      <c r="BC45" s="2">
        <v>-12.685497229074995</v>
      </c>
      <c r="BD45" s="2">
        <v>1.9632416821252634</v>
      </c>
      <c r="BF45" s="2" t="s">
        <v>80</v>
      </c>
      <c r="BG45" s="2" t="s">
        <v>112</v>
      </c>
      <c r="BH45" s="2">
        <v>45</v>
      </c>
    </row>
    <row r="46" spans="1:60" x14ac:dyDescent="0.2">
      <c r="A46" s="2" t="s">
        <v>168</v>
      </c>
      <c r="B46" s="2"/>
      <c r="C46" s="2"/>
      <c r="E46" s="2">
        <v>24500</v>
      </c>
      <c r="F46" s="2" t="s">
        <v>342</v>
      </c>
      <c r="G46" s="2">
        <v>259.7</v>
      </c>
      <c r="H46" s="2">
        <v>39.449999999999989</v>
      </c>
      <c r="I46" s="2">
        <v>150</v>
      </c>
      <c r="J46" s="8">
        <v>45929.569016203706</v>
      </c>
      <c r="K46" s="2">
        <v>590700</v>
      </c>
      <c r="L46" s="2">
        <v>141825</v>
      </c>
      <c r="M46" s="2">
        <v>246.2</v>
      </c>
      <c r="N46" s="2">
        <v>263.95</v>
      </c>
      <c r="O46" s="2">
        <v>350.85</v>
      </c>
      <c r="P46" s="2">
        <v>170.8</v>
      </c>
      <c r="Q46" s="2">
        <v>260</v>
      </c>
      <c r="R46" s="2">
        <v>260.55</v>
      </c>
      <c r="S46" s="2">
        <v>220.25</v>
      </c>
      <c r="T46" s="2">
        <v>20749500</v>
      </c>
      <c r="U46" s="2">
        <v>27004</v>
      </c>
      <c r="V46" s="2">
        <v>-1122</v>
      </c>
      <c r="W46" s="2">
        <v>216.25</v>
      </c>
      <c r="X46" s="2">
        <v>43.449999999999989</v>
      </c>
      <c r="Y46" s="2">
        <v>0.2157942805984398</v>
      </c>
      <c r="Z46" s="2">
        <v>0.78253711083960265</v>
      </c>
      <c r="AA46" s="2">
        <v>1.0152880382697748E-3</v>
      </c>
      <c r="AB46" s="2">
        <v>0.56292782325029389</v>
      </c>
      <c r="AC46" s="2">
        <v>-44.792881826776735</v>
      </c>
      <c r="AD46" s="2">
        <v>3.9484841515483868</v>
      </c>
      <c r="AE46" s="2">
        <v>24500</v>
      </c>
      <c r="AF46" s="2" t="s">
        <v>343</v>
      </c>
      <c r="AG46" s="2">
        <v>9.65</v>
      </c>
      <c r="AH46" s="2">
        <v>-20.549999999999997</v>
      </c>
      <c r="AI46" s="2">
        <v>225</v>
      </c>
      <c r="AJ46" s="8">
        <v>45929.569027777776</v>
      </c>
      <c r="AK46" s="2">
        <v>6140925</v>
      </c>
      <c r="AL46" s="2">
        <v>2112000</v>
      </c>
      <c r="AM46" s="2">
        <v>14.37</v>
      </c>
      <c r="AN46" s="2">
        <v>21.7</v>
      </c>
      <c r="AO46" s="2">
        <v>24.6</v>
      </c>
      <c r="AP46" s="2">
        <v>7.45</v>
      </c>
      <c r="AQ46" s="2">
        <v>9.65</v>
      </c>
      <c r="AR46" s="2">
        <v>9.6999999999999993</v>
      </c>
      <c r="AS46" s="2">
        <v>30.2</v>
      </c>
      <c r="AT46" s="2">
        <v>254653125</v>
      </c>
      <c r="AU46" s="2">
        <v>205754</v>
      </c>
      <c r="AV46" s="2">
        <v>40573</v>
      </c>
      <c r="AW46" s="2">
        <v>-216.25</v>
      </c>
      <c r="AX46" s="2">
        <v>225.9</v>
      </c>
      <c r="AY46" s="2">
        <v>0.13622873671732535</v>
      </c>
      <c r="AZ46" s="2">
        <v>-0.10911768792430521</v>
      </c>
      <c r="BA46" s="2">
        <v>1.0222548136110232E-3</v>
      </c>
      <c r="BB46" s="2">
        <v>-7.9848174311455203E-2</v>
      </c>
      <c r="BC46" s="2">
        <v>-15.134378239624336</v>
      </c>
      <c r="BD46" s="2">
        <v>2.5097423729180415</v>
      </c>
      <c r="BF46" s="2" t="s">
        <v>81</v>
      </c>
      <c r="BG46" s="2" t="s">
        <v>106</v>
      </c>
      <c r="BH46" s="2">
        <v>46</v>
      </c>
    </row>
    <row r="47" spans="1:60" x14ac:dyDescent="0.2">
      <c r="A47" s="2" t="s">
        <v>169</v>
      </c>
      <c r="B47" s="2"/>
      <c r="C47" s="2"/>
      <c r="E47" s="2">
        <v>24550</v>
      </c>
      <c r="F47" s="2" t="s">
        <v>342</v>
      </c>
      <c r="G47" s="2">
        <v>213.55</v>
      </c>
      <c r="H47" s="2">
        <v>33.050000000000011</v>
      </c>
      <c r="I47" s="2">
        <v>75</v>
      </c>
      <c r="J47" s="8">
        <v>45929.569027777776</v>
      </c>
      <c r="K47" s="2">
        <v>222600</v>
      </c>
      <c r="L47" s="2">
        <v>87075</v>
      </c>
      <c r="M47" s="2">
        <v>191.23</v>
      </c>
      <c r="N47" s="2">
        <v>220</v>
      </c>
      <c r="O47" s="2">
        <v>303</v>
      </c>
      <c r="P47" s="2">
        <v>131.44999999999999</v>
      </c>
      <c r="Q47" s="2">
        <v>213.85</v>
      </c>
      <c r="R47" s="2">
        <v>214.3</v>
      </c>
      <c r="S47" s="2">
        <v>180.5</v>
      </c>
      <c r="T47" s="2">
        <v>15944625</v>
      </c>
      <c r="U47" s="2">
        <v>11267</v>
      </c>
      <c r="V47" s="2">
        <v>6526</v>
      </c>
      <c r="W47" s="2">
        <v>166.25</v>
      </c>
      <c r="X47" s="2">
        <v>47.300000000000011</v>
      </c>
      <c r="Y47" s="2">
        <v>0.19624450441583591</v>
      </c>
      <c r="Z47" s="2">
        <v>0.74735455610010926</v>
      </c>
      <c r="AA47" s="2">
        <v>1.2129434084728733E-3</v>
      </c>
      <c r="AB47" s="2">
        <v>0.53863595992769298</v>
      </c>
      <c r="AC47" s="2">
        <v>-44.093356638756966</v>
      </c>
      <c r="AD47" s="2">
        <v>4.2898227412248309</v>
      </c>
      <c r="AE47" s="2">
        <v>24550</v>
      </c>
      <c r="AF47" s="2" t="s">
        <v>343</v>
      </c>
      <c r="AG47" s="2">
        <v>13.5</v>
      </c>
      <c r="AH47" s="2">
        <v>-27.15</v>
      </c>
      <c r="AI47" s="2">
        <v>75</v>
      </c>
      <c r="AJ47" s="8">
        <v>45929.569039351853</v>
      </c>
      <c r="AK47" s="2">
        <v>4927500</v>
      </c>
      <c r="AL47" s="2">
        <v>1221150</v>
      </c>
      <c r="AM47" s="2">
        <v>20.87</v>
      </c>
      <c r="AN47" s="2">
        <v>29</v>
      </c>
      <c r="AO47" s="2">
        <v>35.799999999999997</v>
      </c>
      <c r="AP47" s="2">
        <v>9.5500000000000007</v>
      </c>
      <c r="AQ47" s="2">
        <v>13.45</v>
      </c>
      <c r="AR47" s="2">
        <v>13.5</v>
      </c>
      <c r="AS47" s="2">
        <v>40.65</v>
      </c>
      <c r="AT47" s="2">
        <v>188084025</v>
      </c>
      <c r="AU47" s="2">
        <v>100960</v>
      </c>
      <c r="AV47" s="2">
        <v>61041</v>
      </c>
      <c r="AW47" s="2">
        <v>-166.25</v>
      </c>
      <c r="AX47" s="2">
        <v>179.75</v>
      </c>
      <c r="AY47" s="2">
        <v>0.12670643203196821</v>
      </c>
      <c r="AZ47" s="2">
        <v>-0.15221327904780213</v>
      </c>
      <c r="BA47" s="2">
        <v>1.3841559673923632E-3</v>
      </c>
      <c r="BB47" s="2">
        <v>-0.11138504813627145</v>
      </c>
      <c r="BC47" s="2">
        <v>-17.561796651099016</v>
      </c>
      <c r="BD47" s="2">
        <v>3.1607125470793314</v>
      </c>
      <c r="BF47" s="2" t="s">
        <v>82</v>
      </c>
      <c r="BG47" s="2" t="s">
        <v>105</v>
      </c>
      <c r="BH47" s="2">
        <v>47</v>
      </c>
    </row>
    <row r="48" spans="1:60" x14ac:dyDescent="0.2">
      <c r="A48" s="2" t="s">
        <v>170</v>
      </c>
      <c r="B48" s="2"/>
      <c r="C48" s="2"/>
      <c r="E48" s="2">
        <v>24600</v>
      </c>
      <c r="F48" s="2" t="s">
        <v>342</v>
      </c>
      <c r="G48" s="2">
        <v>169.7</v>
      </c>
      <c r="H48" s="2">
        <v>25.349999999999994</v>
      </c>
      <c r="I48" s="2">
        <v>300</v>
      </c>
      <c r="J48" s="8">
        <v>45929.569027777776</v>
      </c>
      <c r="K48" s="2">
        <v>1144575</v>
      </c>
      <c r="L48" s="2">
        <v>364350</v>
      </c>
      <c r="M48" s="2">
        <v>152.91999999999999</v>
      </c>
      <c r="N48" s="2">
        <v>145.5</v>
      </c>
      <c r="O48" s="2">
        <v>256.14999999999998</v>
      </c>
      <c r="P48" s="2">
        <v>96.75</v>
      </c>
      <c r="Q48" s="2">
        <v>169.9</v>
      </c>
      <c r="R48" s="2">
        <v>170.2</v>
      </c>
      <c r="S48" s="2">
        <v>144.35</v>
      </c>
      <c r="T48" s="2">
        <v>96365400</v>
      </c>
      <c r="U48" s="2">
        <v>52774</v>
      </c>
      <c r="V48" s="2">
        <v>21646</v>
      </c>
      <c r="W48" s="2">
        <v>116.25</v>
      </c>
      <c r="X48" s="2">
        <v>53.449999999999989</v>
      </c>
      <c r="Y48" s="2">
        <v>0.17878821725401922</v>
      </c>
      <c r="Z48" s="2">
        <v>0.69871940387219633</v>
      </c>
      <c r="AA48" s="2">
        <v>1.4514131249861687E-3</v>
      </c>
      <c r="AB48" s="2">
        <v>0.50446695851289203</v>
      </c>
      <c r="AC48" s="2">
        <v>-43.509908267122022</v>
      </c>
      <c r="AD48" s="2">
        <v>4.6766096180957968</v>
      </c>
      <c r="AE48" s="2">
        <v>24600</v>
      </c>
      <c r="AF48" s="2" t="s">
        <v>343</v>
      </c>
      <c r="AG48" s="2">
        <v>19.55</v>
      </c>
      <c r="AH48" s="2">
        <v>-34.900000000000006</v>
      </c>
      <c r="AI48" s="2">
        <v>75</v>
      </c>
      <c r="AJ48" s="8">
        <v>45929.569027777776</v>
      </c>
      <c r="AK48" s="2">
        <v>5134725</v>
      </c>
      <c r="AL48" s="2">
        <v>3105825</v>
      </c>
      <c r="AM48" s="2">
        <v>30.26</v>
      </c>
      <c r="AN48" s="2">
        <v>29</v>
      </c>
      <c r="AO48" s="2">
        <v>51.35</v>
      </c>
      <c r="AP48" s="2">
        <v>12.6</v>
      </c>
      <c r="AQ48" s="2">
        <v>19.55</v>
      </c>
      <c r="AR48" s="2">
        <v>19.649999999999999</v>
      </c>
      <c r="AS48" s="2">
        <v>54.45</v>
      </c>
      <c r="AT48" s="2">
        <v>426603825</v>
      </c>
      <c r="AU48" s="2">
        <v>245940</v>
      </c>
      <c r="AV48" s="2">
        <v>122986</v>
      </c>
      <c r="AW48" s="2">
        <v>-116.25</v>
      </c>
      <c r="AX48" s="2">
        <v>135.80000000000001</v>
      </c>
      <c r="AY48" s="2">
        <v>0.11782834281935854</v>
      </c>
      <c r="AZ48" s="2">
        <v>-0.21594707912420452</v>
      </c>
      <c r="BA48" s="2">
        <v>1.8519213674775233E-3</v>
      </c>
      <c r="BB48" s="2">
        <v>-0.15803518471963579</v>
      </c>
      <c r="BC48" s="2">
        <v>-20.048482863560782</v>
      </c>
      <c r="BD48" s="2">
        <v>3.9325432245810927</v>
      </c>
      <c r="BF48" s="2" t="s">
        <v>83</v>
      </c>
      <c r="BG48" s="2" t="s">
        <v>107</v>
      </c>
      <c r="BH48" s="2">
        <v>48</v>
      </c>
    </row>
    <row r="49" spans="1:60" x14ac:dyDescent="0.2">
      <c r="A49" s="2" t="s">
        <v>171</v>
      </c>
      <c r="B49" s="2"/>
      <c r="C49" s="2"/>
      <c r="E49" s="2">
        <v>24650</v>
      </c>
      <c r="F49" s="2" t="s">
        <v>342</v>
      </c>
      <c r="G49" s="2">
        <v>128.80000000000001</v>
      </c>
      <c r="H49" s="2">
        <v>17.050000000000011</v>
      </c>
      <c r="I49" s="2">
        <v>75</v>
      </c>
      <c r="J49" s="8">
        <v>45929.569039351853</v>
      </c>
      <c r="K49" s="2">
        <v>1368000</v>
      </c>
      <c r="L49" s="2">
        <v>486900</v>
      </c>
      <c r="M49" s="2">
        <v>114.5</v>
      </c>
      <c r="N49" s="2">
        <v>123</v>
      </c>
      <c r="O49" s="2">
        <v>211.2</v>
      </c>
      <c r="P49" s="2">
        <v>67.45</v>
      </c>
      <c r="Q49" s="2">
        <v>128.5</v>
      </c>
      <c r="R49" s="2">
        <v>128.75</v>
      </c>
      <c r="S49" s="2">
        <v>111.75</v>
      </c>
      <c r="T49" s="2">
        <v>152126250</v>
      </c>
      <c r="U49" s="2">
        <v>70771</v>
      </c>
      <c r="V49" s="2">
        <v>29738</v>
      </c>
      <c r="W49" s="2">
        <v>66.25</v>
      </c>
      <c r="X49" s="2">
        <v>62.550000000000011</v>
      </c>
      <c r="Y49" s="2">
        <v>0.16296884390599767</v>
      </c>
      <c r="Z49" s="2">
        <v>0.63343991771171693</v>
      </c>
      <c r="AA49" s="2">
        <v>1.720513125616686E-3</v>
      </c>
      <c r="AB49" s="2">
        <v>0.45807495972522794</v>
      </c>
      <c r="AC49" s="2">
        <v>-42.493356595851033</v>
      </c>
      <c r="AD49" s="2">
        <v>5.0531697106925586</v>
      </c>
      <c r="AE49" s="2">
        <v>24650</v>
      </c>
      <c r="AF49" s="2" t="s">
        <v>343</v>
      </c>
      <c r="AG49" s="2">
        <v>27.9</v>
      </c>
      <c r="AH49" s="2">
        <v>-44.4</v>
      </c>
      <c r="AI49" s="2">
        <v>75</v>
      </c>
      <c r="AJ49" s="8">
        <v>45929.569016203706</v>
      </c>
      <c r="AK49" s="2">
        <v>5091750</v>
      </c>
      <c r="AL49" s="2">
        <v>1871175</v>
      </c>
      <c r="AM49" s="2">
        <v>41.28</v>
      </c>
      <c r="AN49" s="2">
        <v>50.95</v>
      </c>
      <c r="AO49" s="2">
        <v>72</v>
      </c>
      <c r="AP49" s="2">
        <v>17.3</v>
      </c>
      <c r="AQ49" s="2">
        <v>28.05</v>
      </c>
      <c r="AR49" s="2">
        <v>28.15</v>
      </c>
      <c r="AS49" s="2">
        <v>72.3</v>
      </c>
      <c r="AT49" s="2">
        <v>439001325</v>
      </c>
      <c r="AU49" s="2">
        <v>158619</v>
      </c>
      <c r="AV49" s="2">
        <v>90384</v>
      </c>
      <c r="AW49" s="2">
        <v>-66.25</v>
      </c>
      <c r="AX49" s="2">
        <v>94.15</v>
      </c>
      <c r="AY49" s="2">
        <v>0.10717818701155986</v>
      </c>
      <c r="AZ49" s="2">
        <v>-0.30339807248790696</v>
      </c>
      <c r="BA49" s="2">
        <v>2.4287785951071896E-3</v>
      </c>
      <c r="BB49" s="2">
        <v>-0.22204670791625616</v>
      </c>
      <c r="BC49" s="2">
        <v>-21.28551594258575</v>
      </c>
      <c r="BD49" s="2">
        <v>4.6913259859668841</v>
      </c>
      <c r="BF49" s="2" t="s">
        <v>84</v>
      </c>
      <c r="BG49" s="2" t="s">
        <v>108</v>
      </c>
      <c r="BH49" s="2">
        <v>49</v>
      </c>
    </row>
    <row r="50" spans="1:60" x14ac:dyDescent="0.2">
      <c r="A50" s="2" t="s">
        <v>172</v>
      </c>
      <c r="B50" s="2"/>
      <c r="C50" s="2"/>
      <c r="E50" s="2">
        <v>24700</v>
      </c>
      <c r="F50" s="2" t="s">
        <v>342</v>
      </c>
      <c r="G50" s="2">
        <v>92</v>
      </c>
      <c r="H50" s="2">
        <v>7.5</v>
      </c>
      <c r="I50" s="2">
        <v>225</v>
      </c>
      <c r="J50" s="8">
        <v>45929.569039351853</v>
      </c>
      <c r="K50" s="2">
        <v>1869750</v>
      </c>
      <c r="L50" s="2">
        <v>1953900</v>
      </c>
      <c r="M50" s="2">
        <v>92.14</v>
      </c>
      <c r="N50" s="2">
        <v>102.05</v>
      </c>
      <c r="O50" s="2">
        <v>168.85</v>
      </c>
      <c r="P50" s="2">
        <v>44.75</v>
      </c>
      <c r="Q50" s="2">
        <v>91.85</v>
      </c>
      <c r="R50" s="2">
        <v>92</v>
      </c>
      <c r="S50" s="2">
        <v>84.5</v>
      </c>
      <c r="T50" s="2">
        <v>392275350</v>
      </c>
      <c r="U50" s="2">
        <v>228150</v>
      </c>
      <c r="V50" s="2">
        <v>126557</v>
      </c>
      <c r="W50" s="2">
        <v>16.25</v>
      </c>
      <c r="X50" s="2">
        <v>75.75</v>
      </c>
      <c r="Y50" s="2">
        <v>0.14884850693780949</v>
      </c>
      <c r="Z50" s="2">
        <v>0.54850340740485548</v>
      </c>
      <c r="AA50" s="2">
        <v>1.9817062029221775E-3</v>
      </c>
      <c r="AB50" s="2">
        <v>0.39722875935048502</v>
      </c>
      <c r="AC50" s="2">
        <v>-40.431681487691591</v>
      </c>
      <c r="AD50" s="2">
        <v>5.3159995400806235</v>
      </c>
      <c r="AE50" s="2">
        <v>24700</v>
      </c>
      <c r="AF50" s="2" t="s">
        <v>343</v>
      </c>
      <c r="AG50" s="2">
        <v>40.5</v>
      </c>
      <c r="AH50" s="2">
        <v>-54.25</v>
      </c>
      <c r="AI50" s="2">
        <v>150</v>
      </c>
      <c r="AJ50" s="8">
        <v>45929.569027777776</v>
      </c>
      <c r="AK50" s="2">
        <v>5829000</v>
      </c>
      <c r="AL50" s="2">
        <v>2349675</v>
      </c>
      <c r="AM50" s="2">
        <v>51.76</v>
      </c>
      <c r="AN50" s="2">
        <v>68.900000000000006</v>
      </c>
      <c r="AO50" s="2">
        <v>99.2</v>
      </c>
      <c r="AP50" s="2">
        <v>23.95</v>
      </c>
      <c r="AQ50" s="2">
        <v>40.9</v>
      </c>
      <c r="AR50" s="2">
        <v>41.05</v>
      </c>
      <c r="AS50" s="2">
        <v>94.75</v>
      </c>
      <c r="AT50" s="2">
        <v>644163675</v>
      </c>
      <c r="AU50" s="2">
        <v>236560</v>
      </c>
      <c r="AV50" s="2">
        <v>157558</v>
      </c>
      <c r="AW50" s="2">
        <v>-16.25</v>
      </c>
      <c r="AX50" s="2">
        <v>56.75</v>
      </c>
      <c r="AY50" s="2">
        <v>9.6043539481262472E-2</v>
      </c>
      <c r="AZ50" s="2">
        <v>-0.42652232780595656</v>
      </c>
      <c r="BA50" s="2">
        <v>3.0415188413338823E-3</v>
      </c>
      <c r="BB50" s="2">
        <v>-0.31219483963867267</v>
      </c>
      <c r="BC50" s="2">
        <v>-20.579109858904285</v>
      </c>
      <c r="BD50" s="2">
        <v>5.2645340198765131</v>
      </c>
      <c r="BF50" s="2" t="s">
        <v>85</v>
      </c>
      <c r="BG50" s="2" t="s">
        <v>109</v>
      </c>
      <c r="BH50" s="2">
        <v>50</v>
      </c>
    </row>
    <row r="51" spans="1:60" x14ac:dyDescent="0.2">
      <c r="A51" s="2" t="s">
        <v>173</v>
      </c>
      <c r="B51" s="2"/>
      <c r="C51" s="2"/>
      <c r="E51" s="2">
        <v>24750</v>
      </c>
      <c r="F51" s="2" t="s">
        <v>342</v>
      </c>
      <c r="G51" s="2">
        <v>60.8</v>
      </c>
      <c r="H51" s="2">
        <v>-2.0500000000000043</v>
      </c>
      <c r="I51" s="2">
        <v>75</v>
      </c>
      <c r="J51" s="8">
        <v>45929.569039351853</v>
      </c>
      <c r="K51" s="2">
        <v>5689125</v>
      </c>
      <c r="L51" s="2">
        <v>2093325</v>
      </c>
      <c r="M51" s="2">
        <v>71.62</v>
      </c>
      <c r="N51" s="2">
        <v>61.6</v>
      </c>
      <c r="O51" s="2">
        <v>127.2</v>
      </c>
      <c r="P51" s="2">
        <v>28.9</v>
      </c>
      <c r="Q51" s="2">
        <v>60.75</v>
      </c>
      <c r="R51" s="2">
        <v>60.9</v>
      </c>
      <c r="S51" s="2">
        <v>62.85</v>
      </c>
      <c r="T51" s="2">
        <v>380151525</v>
      </c>
      <c r="U51" s="2">
        <v>187032</v>
      </c>
      <c r="V51" s="2">
        <v>127623</v>
      </c>
      <c r="W51" s="2">
        <v>-33.75</v>
      </c>
      <c r="X51" s="2">
        <v>94.55</v>
      </c>
      <c r="Y51" s="2">
        <v>0.13672944707365758</v>
      </c>
      <c r="Z51" s="2">
        <v>0.44420864929247317</v>
      </c>
      <c r="AA51" s="2">
        <v>2.1521502417305295E-3</v>
      </c>
      <c r="AB51" s="2">
        <v>0.32210243507593339</v>
      </c>
      <c r="AC51" s="2">
        <v>-36.661015658253703</v>
      </c>
      <c r="AD51" s="2">
        <v>5.303174556142352</v>
      </c>
      <c r="AE51" s="2">
        <v>24750</v>
      </c>
      <c r="AF51" s="2" t="s">
        <v>343</v>
      </c>
      <c r="AG51" s="2">
        <v>60.05</v>
      </c>
      <c r="AH51" s="2">
        <v>-63.2</v>
      </c>
      <c r="AI51" s="2">
        <v>75</v>
      </c>
      <c r="AJ51" s="8">
        <v>45929.569039351853</v>
      </c>
      <c r="AK51" s="2">
        <v>5124525</v>
      </c>
      <c r="AL51" s="2">
        <v>745275</v>
      </c>
      <c r="AM51" s="2">
        <v>63.6</v>
      </c>
      <c r="AN51" s="2">
        <v>89.05</v>
      </c>
      <c r="AO51" s="2">
        <v>133.19999999999999</v>
      </c>
      <c r="AP51" s="2">
        <v>33.299999999999997</v>
      </c>
      <c r="AQ51" s="2">
        <v>60.05</v>
      </c>
      <c r="AR51" s="2">
        <v>60.15</v>
      </c>
      <c r="AS51" s="2">
        <v>123.25</v>
      </c>
      <c r="AT51" s="2">
        <v>389974800</v>
      </c>
      <c r="AU51" s="2">
        <v>83143</v>
      </c>
      <c r="AV51" s="2">
        <v>55006</v>
      </c>
      <c r="AW51" s="2">
        <v>33.75</v>
      </c>
      <c r="AX51" s="2">
        <v>26.299999999999997</v>
      </c>
      <c r="AY51" s="2">
        <v>8.5117295461800496E-2</v>
      </c>
      <c r="AZ51" s="2">
        <v>-0.59058020678427881</v>
      </c>
      <c r="BA51" s="2">
        <v>3.4009513820959535E-3</v>
      </c>
      <c r="BB51" s="2">
        <v>-0.43239492470629159</v>
      </c>
      <c r="BC51" s="2">
        <v>-16.603900207101962</v>
      </c>
      <c r="BD51" s="2">
        <v>5.2169845284167318</v>
      </c>
      <c r="BF51" s="2" t="s">
        <v>86</v>
      </c>
      <c r="BG51" s="2" t="s">
        <v>110</v>
      </c>
      <c r="BH51" s="2">
        <v>51</v>
      </c>
    </row>
    <row r="52" spans="1:60" x14ac:dyDescent="0.2">
      <c r="A52" s="2" t="s">
        <v>174</v>
      </c>
      <c r="B52" s="2"/>
      <c r="C52" s="2"/>
      <c r="E52" s="2">
        <v>24800</v>
      </c>
      <c r="F52" s="2" t="s">
        <v>342</v>
      </c>
      <c r="G52" s="2">
        <v>38.35</v>
      </c>
      <c r="H52" s="2">
        <v>-8.0499999999999972</v>
      </c>
      <c r="I52" s="2">
        <v>75</v>
      </c>
      <c r="J52" s="8">
        <v>45929.569039351853</v>
      </c>
      <c r="K52" s="2">
        <v>6230700</v>
      </c>
      <c r="L52" s="2">
        <v>3905175</v>
      </c>
      <c r="M52" s="2">
        <v>50.07</v>
      </c>
      <c r="N52" s="2">
        <v>53.4</v>
      </c>
      <c r="O52" s="2">
        <v>91</v>
      </c>
      <c r="P52" s="2">
        <v>18.7</v>
      </c>
      <c r="Q52" s="2">
        <v>38.299999999999997</v>
      </c>
      <c r="R52" s="2">
        <v>38.4</v>
      </c>
      <c r="S52" s="2">
        <v>46.4</v>
      </c>
      <c r="T52" s="2">
        <v>499759950</v>
      </c>
      <c r="U52" s="2">
        <v>308550</v>
      </c>
      <c r="V52" s="2">
        <v>140429</v>
      </c>
      <c r="W52" s="2">
        <v>-83.75</v>
      </c>
      <c r="X52" s="2">
        <v>122.1</v>
      </c>
      <c r="Y52" s="2">
        <v>0.13056128509285431</v>
      </c>
      <c r="Z52" s="2">
        <v>0.33291736286872681</v>
      </c>
      <c r="AA52" s="2">
        <v>2.0734532493994922E-3</v>
      </c>
      <c r="AB52" s="2">
        <v>0.24161630494868733</v>
      </c>
      <c r="AC52" s="2">
        <v>-31.821634821315008</v>
      </c>
      <c r="AD52" s="2">
        <v>4.8787645681106913</v>
      </c>
      <c r="AE52" s="2">
        <v>24800</v>
      </c>
      <c r="AF52" s="2" t="s">
        <v>343</v>
      </c>
      <c r="AG52" s="2">
        <v>87.65</v>
      </c>
      <c r="AH52" s="2">
        <v>-69.199999999999989</v>
      </c>
      <c r="AI52" s="2">
        <v>75</v>
      </c>
      <c r="AJ52" s="8">
        <v>45929.569039351853</v>
      </c>
      <c r="AK52" s="2">
        <v>4302075</v>
      </c>
      <c r="AL52" s="2">
        <v>955275</v>
      </c>
      <c r="AM52" s="2">
        <v>86.2</v>
      </c>
      <c r="AN52" s="2">
        <v>101.1</v>
      </c>
      <c r="AO52" s="2">
        <v>172.65</v>
      </c>
      <c r="AP52" s="2">
        <v>47.25</v>
      </c>
      <c r="AQ52" s="2">
        <v>87.5</v>
      </c>
      <c r="AR52" s="2">
        <v>87.65</v>
      </c>
      <c r="AS52" s="2">
        <v>156.85</v>
      </c>
      <c r="AT52" s="2">
        <v>340450350</v>
      </c>
      <c r="AU52" s="2">
        <v>100895</v>
      </c>
      <c r="AV52" s="2">
        <v>31042</v>
      </c>
      <c r="AW52" s="2">
        <v>83.75</v>
      </c>
      <c r="AX52" s="2">
        <v>3.9000000000000057</v>
      </c>
      <c r="AY52" s="2">
        <v>7.0365788142649641E-2</v>
      </c>
      <c r="AZ52" s="2">
        <v>-0.78987587860478548</v>
      </c>
      <c r="BA52" s="2">
        <v>3.0519993898598611E-3</v>
      </c>
      <c r="BB52" s="2">
        <v>-0.57852626682351505</v>
      </c>
      <c r="BC52" s="2">
        <v>-7.2731855009727449</v>
      </c>
      <c r="BD52" s="2">
        <v>3.870324253360927</v>
      </c>
      <c r="BF52" s="2" t="s">
        <v>87</v>
      </c>
      <c r="BG52" s="2" t="s">
        <v>111</v>
      </c>
      <c r="BH52" s="2">
        <v>52</v>
      </c>
    </row>
    <row r="53" spans="1:60" x14ac:dyDescent="0.2">
      <c r="A53" s="2" t="s">
        <v>175</v>
      </c>
      <c r="B53" s="2"/>
      <c r="C53" s="2"/>
      <c r="E53" s="2">
        <v>24850</v>
      </c>
      <c r="F53" s="2" t="s">
        <v>342</v>
      </c>
      <c r="G53" s="2">
        <v>23.75</v>
      </c>
      <c r="H53" s="2">
        <v>-10.5</v>
      </c>
      <c r="I53" s="2">
        <v>225</v>
      </c>
      <c r="J53" s="8">
        <v>45929.569027777776</v>
      </c>
      <c r="K53" s="2">
        <v>5352675</v>
      </c>
      <c r="L53" s="2">
        <v>2119725</v>
      </c>
      <c r="M53" s="2">
        <v>33.049999999999997</v>
      </c>
      <c r="N53" s="2">
        <v>40.049999999999997</v>
      </c>
      <c r="O53" s="2">
        <v>61.2</v>
      </c>
      <c r="P53" s="2">
        <v>12.25</v>
      </c>
      <c r="Q53" s="2">
        <v>23.75</v>
      </c>
      <c r="R53" s="2">
        <v>23.8</v>
      </c>
      <c r="S53" s="2">
        <v>34.25</v>
      </c>
      <c r="T53" s="2">
        <v>280026675</v>
      </c>
      <c r="U53" s="2">
        <v>162334</v>
      </c>
      <c r="V53" s="2">
        <v>81716</v>
      </c>
      <c r="W53" s="2">
        <v>-133.75</v>
      </c>
      <c r="X53" s="2">
        <v>157.5</v>
      </c>
      <c r="Y53" s="2">
        <v>0.12925345422208759</v>
      </c>
      <c r="Z53" s="2">
        <v>0.23477660123228078</v>
      </c>
      <c r="AA53" s="2">
        <v>1.7700817404881389E-3</v>
      </c>
      <c r="AB53" s="2">
        <v>0.17048744939915295</v>
      </c>
      <c r="AC53" s="2">
        <v>-26.330151230268555</v>
      </c>
      <c r="AD53" s="2">
        <v>4.1232228993585682</v>
      </c>
      <c r="AE53" s="2">
        <v>24850</v>
      </c>
      <c r="AF53" s="2" t="s">
        <v>343</v>
      </c>
      <c r="AG53" s="2">
        <v>123.1</v>
      </c>
      <c r="AH53" s="2">
        <v>-71.900000000000006</v>
      </c>
      <c r="AI53" s="2">
        <v>300</v>
      </c>
      <c r="AJ53" s="8">
        <v>45929.569027777776</v>
      </c>
      <c r="AK53" s="2">
        <v>978675</v>
      </c>
      <c r="AL53" s="2">
        <v>198225</v>
      </c>
      <c r="AM53" s="2">
        <v>114.16</v>
      </c>
      <c r="AN53" s="2">
        <v>152.9</v>
      </c>
      <c r="AO53" s="2">
        <v>216.1</v>
      </c>
      <c r="AP53" s="2">
        <v>67.5</v>
      </c>
      <c r="AQ53" s="2">
        <v>123</v>
      </c>
      <c r="AR53" s="2">
        <v>123.2</v>
      </c>
      <c r="AS53" s="2">
        <v>195</v>
      </c>
      <c r="AT53" s="2">
        <v>90057450</v>
      </c>
      <c r="AU53" s="2">
        <v>24095</v>
      </c>
      <c r="AV53" s="2">
        <v>5349</v>
      </c>
      <c r="AW53" s="2">
        <v>133.75</v>
      </c>
      <c r="AX53" s="2">
        <v>-10.650000000000006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F53" s="2"/>
      <c r="BG53" s="2"/>
      <c r="BH53" s="2"/>
    </row>
    <row r="54" spans="1:60" x14ac:dyDescent="0.2">
      <c r="A54" s="2" t="s">
        <v>176</v>
      </c>
      <c r="B54" s="2"/>
      <c r="C54" s="2"/>
      <c r="E54" s="2">
        <v>24900</v>
      </c>
      <c r="F54" s="2" t="s">
        <v>342</v>
      </c>
      <c r="G54" s="2">
        <v>15.25</v>
      </c>
      <c r="H54" s="2">
        <v>-10.45</v>
      </c>
      <c r="I54" s="2">
        <v>75</v>
      </c>
      <c r="J54" s="8">
        <v>45929.569039351853</v>
      </c>
      <c r="K54" s="2">
        <v>5412075</v>
      </c>
      <c r="L54" s="2">
        <v>2704200</v>
      </c>
      <c r="M54" s="2">
        <v>20.85</v>
      </c>
      <c r="N54" s="2">
        <v>28.95</v>
      </c>
      <c r="O54" s="2">
        <v>39.200000000000003</v>
      </c>
      <c r="P54" s="2">
        <v>8.5500000000000007</v>
      </c>
      <c r="Q54" s="2">
        <v>15.25</v>
      </c>
      <c r="R54" s="2">
        <v>15.3</v>
      </c>
      <c r="S54" s="2">
        <v>25.7</v>
      </c>
      <c r="T54" s="2">
        <v>279541875</v>
      </c>
      <c r="U54" s="2">
        <v>223888</v>
      </c>
      <c r="V54" s="2">
        <v>63694</v>
      </c>
      <c r="W54" s="2">
        <v>-183.75</v>
      </c>
      <c r="X54" s="2">
        <v>199</v>
      </c>
      <c r="Y54" s="2">
        <v>0.13262304446852752</v>
      </c>
      <c r="Z54" s="2">
        <v>0.16263319640864807</v>
      </c>
      <c r="AA54" s="2">
        <v>1.3812345255862584E-3</v>
      </c>
      <c r="AB54" s="2">
        <v>0.11813459434893651</v>
      </c>
      <c r="AC54" s="2">
        <v>-21.427588524690279</v>
      </c>
      <c r="AD54" s="2">
        <v>3.3013203449166828</v>
      </c>
      <c r="AE54" s="2">
        <v>24900</v>
      </c>
      <c r="AF54" s="2" t="s">
        <v>343</v>
      </c>
      <c r="AG54" s="2">
        <v>164.75</v>
      </c>
      <c r="AH54" s="2">
        <v>-71.75</v>
      </c>
      <c r="AI54" s="2">
        <v>75</v>
      </c>
      <c r="AJ54" s="8">
        <v>45929.569027777776</v>
      </c>
      <c r="AK54" s="2">
        <v>349575</v>
      </c>
      <c r="AL54" s="2">
        <v>169500</v>
      </c>
      <c r="AM54" s="2">
        <v>149.75</v>
      </c>
      <c r="AN54" s="2">
        <v>170.05</v>
      </c>
      <c r="AO54" s="2">
        <v>262.60000000000002</v>
      </c>
      <c r="AP54" s="2">
        <v>95.9</v>
      </c>
      <c r="AQ54" s="2">
        <v>164.35</v>
      </c>
      <c r="AR54" s="2">
        <v>164.75</v>
      </c>
      <c r="AS54" s="2">
        <v>236.5</v>
      </c>
      <c r="AT54" s="2">
        <v>68128275</v>
      </c>
      <c r="AU54" s="2">
        <v>39155</v>
      </c>
      <c r="AV54" s="2">
        <v>-13122</v>
      </c>
      <c r="AW54" s="2">
        <v>183.75</v>
      </c>
      <c r="AX54" s="2">
        <v>-19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F54" s="2"/>
      <c r="BG54" s="2"/>
      <c r="BH54" s="2"/>
    </row>
    <row r="55" spans="1:60" x14ac:dyDescent="0.2">
      <c r="A55" s="2" t="s">
        <v>177</v>
      </c>
      <c r="B55" s="2"/>
      <c r="C55" s="2"/>
      <c r="E55" s="2">
        <v>24950</v>
      </c>
      <c r="F55" s="2" t="s">
        <v>342</v>
      </c>
      <c r="G55" s="2">
        <v>9.65</v>
      </c>
      <c r="H55" s="2">
        <v>-10.200000000000001</v>
      </c>
      <c r="I55" s="2">
        <v>1200</v>
      </c>
      <c r="J55" s="8">
        <v>45929.569027777776</v>
      </c>
      <c r="K55" s="2">
        <v>5166000</v>
      </c>
      <c r="L55" s="2">
        <v>1637475</v>
      </c>
      <c r="M55" s="2">
        <v>13.34</v>
      </c>
      <c r="N55" s="2">
        <v>22.7</v>
      </c>
      <c r="O55" s="2">
        <v>24.25</v>
      </c>
      <c r="P55" s="2">
        <v>6.25</v>
      </c>
      <c r="Q55" s="2">
        <v>9.6999999999999993</v>
      </c>
      <c r="R55" s="2">
        <v>9.75</v>
      </c>
      <c r="S55" s="2">
        <v>19.850000000000001</v>
      </c>
      <c r="T55" s="2">
        <v>145234575</v>
      </c>
      <c r="U55" s="2">
        <v>129117</v>
      </c>
      <c r="V55" s="2">
        <v>43373</v>
      </c>
      <c r="W55" s="2">
        <v>-233.75</v>
      </c>
      <c r="X55" s="2">
        <v>243.4</v>
      </c>
      <c r="Y55" s="2">
        <v>0.13625665509185192</v>
      </c>
      <c r="Z55" s="2">
        <v>0.10966304662579228</v>
      </c>
      <c r="AA55" s="2">
        <v>1.0257118659309254E-3</v>
      </c>
      <c r="AB55" s="2">
        <v>7.9676452791255334E-2</v>
      </c>
      <c r="AC55" s="2">
        <v>-16.676087333215246</v>
      </c>
      <c r="AD55" s="2">
        <v>2.5187457822624602</v>
      </c>
      <c r="AE55" s="2">
        <v>24950</v>
      </c>
      <c r="AF55" s="2" t="s">
        <v>343</v>
      </c>
      <c r="AG55" s="2">
        <v>209.85</v>
      </c>
      <c r="AH55" s="2">
        <v>-70.299999999999983</v>
      </c>
      <c r="AI55" s="2">
        <v>150</v>
      </c>
      <c r="AJ55" s="8">
        <v>45929.569016203706</v>
      </c>
      <c r="AK55" s="2">
        <v>233400</v>
      </c>
      <c r="AL55" s="2">
        <v>66375</v>
      </c>
      <c r="AM55" s="2">
        <v>191.78</v>
      </c>
      <c r="AN55" s="2">
        <v>207.05</v>
      </c>
      <c r="AO55" s="2">
        <v>310.10000000000002</v>
      </c>
      <c r="AP55" s="2">
        <v>130.69999999999999</v>
      </c>
      <c r="AQ55" s="2">
        <v>209.05</v>
      </c>
      <c r="AR55" s="2">
        <v>209.5</v>
      </c>
      <c r="AS55" s="2">
        <v>280.14999999999998</v>
      </c>
      <c r="AT55" s="2">
        <v>13168050</v>
      </c>
      <c r="AU55" s="2">
        <v>13547</v>
      </c>
      <c r="AV55" s="2">
        <v>-825</v>
      </c>
      <c r="AW55" s="2">
        <v>233.75</v>
      </c>
      <c r="AX55" s="2">
        <v>-23.900000000000006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F55" s="2"/>
      <c r="BG55" s="2"/>
      <c r="BH55" s="2"/>
    </row>
    <row r="56" spans="1:60" x14ac:dyDescent="0.2">
      <c r="A56" s="2" t="s">
        <v>178</v>
      </c>
      <c r="B56" s="2"/>
      <c r="C56" s="2"/>
      <c r="E56" s="2">
        <v>25000</v>
      </c>
      <c r="F56" s="2" t="s">
        <v>342</v>
      </c>
      <c r="G56" s="2">
        <v>6.75</v>
      </c>
      <c r="H56" s="2">
        <v>-8.8000000000000007</v>
      </c>
      <c r="I56" s="2">
        <v>675</v>
      </c>
      <c r="J56" s="8">
        <v>45929.569016203706</v>
      </c>
      <c r="K56" s="2">
        <v>6649650</v>
      </c>
      <c r="L56" s="2">
        <v>3157200</v>
      </c>
      <c r="M56" s="2">
        <v>9.0500000000000007</v>
      </c>
      <c r="N56" s="2">
        <v>12.9</v>
      </c>
      <c r="O56" s="2">
        <v>15.3</v>
      </c>
      <c r="P56" s="2">
        <v>5</v>
      </c>
      <c r="Q56" s="2">
        <v>6.75</v>
      </c>
      <c r="R56" s="2">
        <v>6.8</v>
      </c>
      <c r="S56" s="2">
        <v>15.55</v>
      </c>
      <c r="T56" s="2">
        <v>205019325</v>
      </c>
      <c r="U56" s="2">
        <v>279115</v>
      </c>
      <c r="V56" s="2">
        <v>38791</v>
      </c>
      <c r="W56" s="2">
        <v>-283.75</v>
      </c>
      <c r="X56" s="2">
        <v>290.5</v>
      </c>
      <c r="Y56" s="2">
        <v>0.14377783907214464</v>
      </c>
      <c r="Z56" s="2">
        <v>7.7799224652017732E-2</v>
      </c>
      <c r="AA56" s="2">
        <v>7.5412300948934441E-4</v>
      </c>
      <c r="AB56" s="2">
        <v>5.652841848186875E-2</v>
      </c>
      <c r="AC56" s="2">
        <v>-13.57070425943393</v>
      </c>
      <c r="AD56" s="2">
        <v>1.9540491427316544</v>
      </c>
      <c r="AE56" s="2">
        <v>25000</v>
      </c>
      <c r="AF56" s="2" t="s">
        <v>343</v>
      </c>
      <c r="AG56" s="2">
        <v>256.89999999999998</v>
      </c>
      <c r="AH56" s="2">
        <v>-68.900000000000034</v>
      </c>
      <c r="AI56" s="2">
        <v>75</v>
      </c>
      <c r="AJ56" s="8">
        <v>45929.569016203706</v>
      </c>
      <c r="AK56" s="2">
        <v>347475</v>
      </c>
      <c r="AL56" s="2">
        <v>133050</v>
      </c>
      <c r="AM56" s="2">
        <v>244.4</v>
      </c>
      <c r="AN56" s="2">
        <v>298.60000000000002</v>
      </c>
      <c r="AO56" s="2">
        <v>359</v>
      </c>
      <c r="AP56" s="2">
        <v>171.2</v>
      </c>
      <c r="AQ56" s="2">
        <v>255.75</v>
      </c>
      <c r="AR56" s="2">
        <v>256.25</v>
      </c>
      <c r="AS56" s="2">
        <v>325.8</v>
      </c>
      <c r="AT56" s="2">
        <v>22220100</v>
      </c>
      <c r="AU56" s="2">
        <v>59268</v>
      </c>
      <c r="AV56" s="2">
        <v>-7165</v>
      </c>
      <c r="AW56" s="2">
        <v>283.75</v>
      </c>
      <c r="AX56" s="2">
        <v>-26.850000000000023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F56" s="2"/>
      <c r="BG56" s="2"/>
      <c r="BH56" s="2"/>
    </row>
    <row r="57" spans="1:60" x14ac:dyDescent="0.2">
      <c r="A57" s="2" t="s">
        <v>179</v>
      </c>
      <c r="B57" s="2"/>
      <c r="C57" s="2"/>
      <c r="E57" s="2">
        <v>25050</v>
      </c>
      <c r="F57" s="2" t="s">
        <v>342</v>
      </c>
      <c r="G57" s="2">
        <v>5</v>
      </c>
      <c r="H57" s="2">
        <v>-7.25</v>
      </c>
      <c r="I57" s="2">
        <v>1125</v>
      </c>
      <c r="J57" s="8">
        <v>45929.569027777776</v>
      </c>
      <c r="K57" s="2">
        <v>5701050</v>
      </c>
      <c r="L57" s="2">
        <v>1327200</v>
      </c>
      <c r="M57" s="2">
        <v>6.3</v>
      </c>
      <c r="N57" s="2">
        <v>9.9</v>
      </c>
      <c r="O57" s="2">
        <v>13.4</v>
      </c>
      <c r="P57" s="2">
        <v>4.05</v>
      </c>
      <c r="Q57" s="2">
        <v>5</v>
      </c>
      <c r="R57" s="2">
        <v>5.05</v>
      </c>
      <c r="S57" s="2">
        <v>12.25</v>
      </c>
      <c r="T57" s="2">
        <v>100024650</v>
      </c>
      <c r="U57" s="2">
        <v>101683</v>
      </c>
      <c r="V57" s="2">
        <v>-6891</v>
      </c>
      <c r="W57" s="2">
        <v>-333.75</v>
      </c>
      <c r="X57" s="2">
        <v>338.75</v>
      </c>
      <c r="Y57" s="2">
        <v>0.15265274802249593</v>
      </c>
      <c r="Z57" s="2">
        <v>5.7284864106596431E-2</v>
      </c>
      <c r="AA57" s="2">
        <v>5.6053438665801974E-4</v>
      </c>
      <c r="AB57" s="2">
        <v>4.1621920140997241E-2</v>
      </c>
      <c r="AC57" s="2">
        <v>-11.317385828701271</v>
      </c>
      <c r="AD57" s="2">
        <v>1.5420841550021178</v>
      </c>
      <c r="AE57" s="2">
        <v>25050</v>
      </c>
      <c r="AF57" s="2" t="s">
        <v>343</v>
      </c>
      <c r="AG57" s="2">
        <v>303.7</v>
      </c>
      <c r="AH57" s="2">
        <v>-69.550000000000011</v>
      </c>
      <c r="AI57" s="2">
        <v>75</v>
      </c>
      <c r="AJ57" s="8">
        <v>45929.568993055553</v>
      </c>
      <c r="AK57" s="2">
        <v>212550</v>
      </c>
      <c r="AL57" s="2">
        <v>45675</v>
      </c>
      <c r="AM57" s="2">
        <v>282.2</v>
      </c>
      <c r="AN57" s="2">
        <v>344.55</v>
      </c>
      <c r="AO57" s="2">
        <v>407.4</v>
      </c>
      <c r="AP57" s="2">
        <v>215.95</v>
      </c>
      <c r="AQ57" s="2">
        <v>304.39999999999998</v>
      </c>
      <c r="AR57" s="2">
        <v>305.3</v>
      </c>
      <c r="AS57" s="2">
        <v>373.25</v>
      </c>
      <c r="AT57" s="2">
        <v>2238450</v>
      </c>
      <c r="AU57" s="2">
        <v>9601</v>
      </c>
      <c r="AV57" s="2">
        <v>-3924</v>
      </c>
      <c r="AW57" s="2">
        <v>333.75</v>
      </c>
      <c r="AX57" s="2">
        <v>-30.050000000000011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F57" s="2"/>
      <c r="BG57" s="2"/>
      <c r="BH57" s="2"/>
    </row>
    <row r="58" spans="1:60" x14ac:dyDescent="0.2">
      <c r="A58" s="2" t="s">
        <v>180</v>
      </c>
      <c r="B58" s="2"/>
      <c r="C58" s="2"/>
      <c r="E58" s="2">
        <v>25100</v>
      </c>
      <c r="F58" s="2" t="s">
        <v>342</v>
      </c>
      <c r="G58" s="2">
        <v>4.05</v>
      </c>
      <c r="H58" s="2">
        <v>-5.7500000000000009</v>
      </c>
      <c r="I58" s="2">
        <v>75</v>
      </c>
      <c r="J58" s="8">
        <v>45929.569016203706</v>
      </c>
      <c r="K58" s="2">
        <v>7123275</v>
      </c>
      <c r="L58" s="2">
        <v>2718300</v>
      </c>
      <c r="M58" s="2">
        <v>4.82</v>
      </c>
      <c r="N58" s="2">
        <v>8</v>
      </c>
      <c r="O58" s="2">
        <v>9.35</v>
      </c>
      <c r="P58" s="2">
        <v>3.55</v>
      </c>
      <c r="Q58" s="2">
        <v>4</v>
      </c>
      <c r="R58" s="2">
        <v>4.05</v>
      </c>
      <c r="S58" s="2">
        <v>9.8000000000000007</v>
      </c>
      <c r="T58" s="2">
        <v>117016500</v>
      </c>
      <c r="U58" s="2">
        <v>189604</v>
      </c>
      <c r="V58" s="2">
        <v>-8109</v>
      </c>
      <c r="W58" s="2">
        <v>-383.75</v>
      </c>
      <c r="X58" s="2">
        <v>387.8</v>
      </c>
      <c r="Y58" s="2">
        <v>0.16367566602921924</v>
      </c>
      <c r="Z58" s="2">
        <v>4.4996804266881761E-2</v>
      </c>
      <c r="AA58" s="2">
        <v>4.3135841169093499E-4</v>
      </c>
      <c r="AB58" s="2">
        <v>3.269007243733997E-2</v>
      </c>
      <c r="AC58" s="2">
        <v>-9.9740868646740672</v>
      </c>
      <c r="AD58" s="2">
        <v>1.2723997875036741</v>
      </c>
      <c r="AE58" s="2">
        <v>25100</v>
      </c>
      <c r="AF58" s="2" t="s">
        <v>343</v>
      </c>
      <c r="AG58" s="2">
        <v>353.1</v>
      </c>
      <c r="AH58" s="2">
        <v>-65.949999999999989</v>
      </c>
      <c r="AI58" s="2">
        <v>225</v>
      </c>
      <c r="AJ58" s="8">
        <v>45929.569004629629</v>
      </c>
      <c r="AK58" s="2">
        <v>224175</v>
      </c>
      <c r="AL58" s="2">
        <v>56475</v>
      </c>
      <c r="AM58" s="2">
        <v>341.05</v>
      </c>
      <c r="AN58" s="2">
        <v>369.95</v>
      </c>
      <c r="AO58" s="2">
        <v>456.85</v>
      </c>
      <c r="AP58" s="2">
        <v>263</v>
      </c>
      <c r="AQ58" s="2">
        <v>353.3</v>
      </c>
      <c r="AR58" s="2">
        <v>354.15</v>
      </c>
      <c r="AS58" s="2">
        <v>419.05</v>
      </c>
      <c r="AT58" s="2">
        <v>3872700</v>
      </c>
      <c r="AU58" s="2">
        <v>23500</v>
      </c>
      <c r="AV58" s="2">
        <v>-3117</v>
      </c>
      <c r="AW58" s="2">
        <v>383.75</v>
      </c>
      <c r="AX58" s="2">
        <v>-30.649999999999977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F58" s="2"/>
      <c r="BG58" s="2"/>
      <c r="BH58" s="2"/>
    </row>
    <row r="59" spans="1:60" x14ac:dyDescent="0.2">
      <c r="A59" s="2" t="s">
        <v>181</v>
      </c>
      <c r="B59" s="2"/>
      <c r="C59" s="2"/>
      <c r="E59" s="2">
        <v>25150</v>
      </c>
      <c r="F59" s="2" t="s">
        <v>342</v>
      </c>
      <c r="G59" s="2">
        <v>3.35</v>
      </c>
      <c r="H59" s="2">
        <v>-4.7000000000000011</v>
      </c>
      <c r="I59" s="2">
        <v>225</v>
      </c>
      <c r="J59" s="8">
        <v>45929.569027777776</v>
      </c>
      <c r="K59" s="2">
        <v>5724825</v>
      </c>
      <c r="L59" s="2">
        <v>999150</v>
      </c>
      <c r="M59" s="2">
        <v>3.87</v>
      </c>
      <c r="N59" s="2">
        <v>7.95</v>
      </c>
      <c r="O59" s="2">
        <v>8.1999999999999993</v>
      </c>
      <c r="P59" s="2">
        <v>3.1</v>
      </c>
      <c r="Q59" s="2">
        <v>3.3</v>
      </c>
      <c r="R59" s="2">
        <v>3.35</v>
      </c>
      <c r="S59" s="2">
        <v>8.0500000000000007</v>
      </c>
      <c r="T59" s="2">
        <v>65308950</v>
      </c>
      <c r="U59" s="2">
        <v>80367</v>
      </c>
      <c r="V59" s="2">
        <v>-10419</v>
      </c>
      <c r="W59" s="2">
        <v>-433.75</v>
      </c>
      <c r="X59" s="2">
        <v>437.1</v>
      </c>
      <c r="Y59" s="2">
        <v>0.17463459392592895</v>
      </c>
      <c r="Z59" s="2">
        <v>3.6067459975898823E-2</v>
      </c>
      <c r="AA59" s="2">
        <v>3.37813709518816E-4</v>
      </c>
      <c r="AB59" s="2">
        <v>2.6199864918128608E-2</v>
      </c>
      <c r="AC59" s="2">
        <v>-8.8647619963815405</v>
      </c>
      <c r="AD59" s="2">
        <v>1.0631847466277502</v>
      </c>
      <c r="AE59" s="2">
        <v>25150</v>
      </c>
      <c r="AF59" s="2" t="s">
        <v>343</v>
      </c>
      <c r="AG59" s="2">
        <v>411.9</v>
      </c>
      <c r="AH59" s="2">
        <v>-56.200000000000045</v>
      </c>
      <c r="AI59" s="2">
        <v>150</v>
      </c>
      <c r="AJ59" s="8">
        <v>45929.568449074075</v>
      </c>
      <c r="AK59" s="2">
        <v>145725</v>
      </c>
      <c r="AL59" s="2">
        <v>28875</v>
      </c>
      <c r="AM59" s="2">
        <v>394.72</v>
      </c>
      <c r="AN59" s="2">
        <v>393.9</v>
      </c>
      <c r="AO59" s="2">
        <v>503.45</v>
      </c>
      <c r="AP59" s="2">
        <v>312.25</v>
      </c>
      <c r="AQ59" s="2">
        <v>402.25</v>
      </c>
      <c r="AR59" s="2">
        <v>403.55</v>
      </c>
      <c r="AS59" s="2">
        <v>468.1</v>
      </c>
      <c r="AT59" s="2">
        <v>640425</v>
      </c>
      <c r="AU59" s="2">
        <v>8925</v>
      </c>
      <c r="AV59" s="2">
        <v>-1078</v>
      </c>
      <c r="AW59" s="2">
        <v>433.75</v>
      </c>
      <c r="AX59" s="2">
        <v>-21.850000000000023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F59" s="2"/>
      <c r="BG59" s="2"/>
      <c r="BH59" s="2"/>
    </row>
    <row r="60" spans="1:60" x14ac:dyDescent="0.2">
      <c r="A60" s="2" t="s">
        <v>182</v>
      </c>
      <c r="B60" s="2"/>
      <c r="C60" s="2"/>
      <c r="E60" s="2">
        <v>25200</v>
      </c>
      <c r="F60" s="2" t="s">
        <v>342</v>
      </c>
      <c r="G60" s="2">
        <v>2.9</v>
      </c>
      <c r="H60" s="2">
        <v>-3.7500000000000004</v>
      </c>
      <c r="I60" s="2">
        <v>150</v>
      </c>
      <c r="J60" s="8">
        <v>45929.569027777776</v>
      </c>
      <c r="K60" s="2">
        <v>9586200</v>
      </c>
      <c r="L60" s="2">
        <v>1602825</v>
      </c>
      <c r="M60" s="2">
        <v>3.28</v>
      </c>
      <c r="N60" s="2">
        <v>5.95</v>
      </c>
      <c r="O60" s="2">
        <v>8.9499999999999993</v>
      </c>
      <c r="P60" s="2">
        <v>2.7</v>
      </c>
      <c r="Q60" s="2">
        <v>2.9</v>
      </c>
      <c r="R60" s="2">
        <v>2.95</v>
      </c>
      <c r="S60" s="2">
        <v>6.65</v>
      </c>
      <c r="T60" s="2">
        <v>96493125</v>
      </c>
      <c r="U60" s="2">
        <v>199820</v>
      </c>
      <c r="V60" s="2">
        <v>36664</v>
      </c>
      <c r="W60" s="2">
        <v>-483.75</v>
      </c>
      <c r="X60" s="2">
        <v>486.65</v>
      </c>
      <c r="Y60" s="2">
        <v>0.18639389183957816</v>
      </c>
      <c r="Z60" s="2">
        <v>3.0028454106908523E-2</v>
      </c>
      <c r="AA60" s="2">
        <v>2.7213593053262644E-4</v>
      </c>
      <c r="AB60" s="2">
        <v>2.1809782979526821E-2</v>
      </c>
      <c r="AC60" s="2">
        <v>-8.1146412256558555</v>
      </c>
      <c r="AD60" s="2">
        <v>0.91415276262191802</v>
      </c>
      <c r="AE60" s="2">
        <v>25200</v>
      </c>
      <c r="AF60" s="2" t="s">
        <v>343</v>
      </c>
      <c r="AG60" s="2">
        <v>450.65</v>
      </c>
      <c r="AH60" s="2">
        <v>-65.700000000000045</v>
      </c>
      <c r="AI60" s="2">
        <v>300</v>
      </c>
      <c r="AJ60" s="8">
        <v>45929.568958333337</v>
      </c>
      <c r="AK60" s="2">
        <v>184275</v>
      </c>
      <c r="AL60" s="2">
        <v>32550</v>
      </c>
      <c r="AM60" s="2">
        <v>434.53</v>
      </c>
      <c r="AN60" s="2">
        <v>440.95</v>
      </c>
      <c r="AO60" s="2">
        <v>555.6</v>
      </c>
      <c r="AP60" s="2">
        <v>360</v>
      </c>
      <c r="AQ60" s="2">
        <v>451.05</v>
      </c>
      <c r="AR60" s="2">
        <v>452.85</v>
      </c>
      <c r="AS60" s="2">
        <v>516.35</v>
      </c>
      <c r="AT60" s="2">
        <v>1591800</v>
      </c>
      <c r="AU60" s="2">
        <v>20417</v>
      </c>
      <c r="AV60" s="2">
        <v>-4148</v>
      </c>
      <c r="AW60" s="2">
        <v>483.75</v>
      </c>
      <c r="AX60" s="2">
        <v>-33.100000000000023</v>
      </c>
      <c r="AY60" s="2">
        <v>0</v>
      </c>
      <c r="AZ60" s="2">
        <v>0</v>
      </c>
      <c r="BA60" s="2">
        <v>0</v>
      </c>
      <c r="BB60" s="2">
        <v>0</v>
      </c>
      <c r="BC60" s="2">
        <v>0</v>
      </c>
      <c r="BD60" s="2">
        <v>0</v>
      </c>
      <c r="BF60" s="2"/>
      <c r="BG60" s="2"/>
      <c r="BH60" s="2"/>
    </row>
    <row r="61" spans="1:60" x14ac:dyDescent="0.2">
      <c r="A61" s="2" t="s">
        <v>183</v>
      </c>
      <c r="B61" s="2"/>
      <c r="C61" s="2"/>
      <c r="E61" s="2">
        <v>25250</v>
      </c>
      <c r="F61" s="2" t="s">
        <v>342</v>
      </c>
      <c r="G61" s="2">
        <v>2.5</v>
      </c>
      <c r="H61" s="2">
        <v>-3.4000000000000004</v>
      </c>
      <c r="I61" s="2">
        <v>75</v>
      </c>
      <c r="J61" s="8">
        <v>45929.569016203706</v>
      </c>
      <c r="K61" s="2">
        <v>7232475</v>
      </c>
      <c r="L61" s="2">
        <v>950250</v>
      </c>
      <c r="M61" s="2">
        <v>2.89</v>
      </c>
      <c r="N61" s="2">
        <v>6.45</v>
      </c>
      <c r="O61" s="2">
        <v>6.45</v>
      </c>
      <c r="P61" s="2">
        <v>2.35</v>
      </c>
      <c r="Q61" s="2">
        <v>2.5</v>
      </c>
      <c r="R61" s="2">
        <v>2.5499999999999998</v>
      </c>
      <c r="S61" s="2">
        <v>5.9</v>
      </c>
      <c r="T61" s="2">
        <v>63399675</v>
      </c>
      <c r="U61" s="2">
        <v>73315</v>
      </c>
      <c r="V61" s="2">
        <v>-16100</v>
      </c>
      <c r="W61" s="2">
        <v>-533.75</v>
      </c>
      <c r="X61" s="2">
        <v>536.25</v>
      </c>
      <c r="Y61" s="2">
        <v>0.19746473449114949</v>
      </c>
      <c r="Z61" s="2">
        <v>2.5045820990380645E-2</v>
      </c>
      <c r="AA61" s="2">
        <v>2.2081289426694061E-4</v>
      </c>
      <c r="AB61" s="2">
        <v>1.8188481455130891E-2</v>
      </c>
      <c r="AC61" s="2">
        <v>-7.3741110778370507</v>
      </c>
      <c r="AD61" s="2">
        <v>0.78580571381004793</v>
      </c>
      <c r="AE61" s="2">
        <v>25250</v>
      </c>
      <c r="AF61" s="2" t="s">
        <v>343</v>
      </c>
      <c r="AG61" s="2">
        <v>500</v>
      </c>
      <c r="AH61" s="2">
        <v>-62.25</v>
      </c>
      <c r="AI61" s="2">
        <v>75</v>
      </c>
      <c r="AJ61" s="8">
        <v>45929.568958333337</v>
      </c>
      <c r="AK61" s="2">
        <v>119700</v>
      </c>
      <c r="AL61" s="2">
        <v>20325</v>
      </c>
      <c r="AM61" s="2">
        <v>483.7</v>
      </c>
      <c r="AN61" s="2">
        <v>539.5</v>
      </c>
      <c r="AO61" s="2">
        <v>600.45000000000005</v>
      </c>
      <c r="AP61" s="2">
        <v>410</v>
      </c>
      <c r="AQ61" s="2">
        <v>500.65</v>
      </c>
      <c r="AR61" s="2">
        <v>502.4</v>
      </c>
      <c r="AS61" s="2">
        <v>562.25</v>
      </c>
      <c r="AT61" s="2">
        <v>189300</v>
      </c>
      <c r="AU61" s="2">
        <v>5016</v>
      </c>
      <c r="AV61" s="2">
        <v>-448</v>
      </c>
      <c r="AW61" s="2">
        <v>533.75</v>
      </c>
      <c r="AX61" s="2">
        <v>-33.75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F61" s="2"/>
      <c r="BG61" s="2"/>
      <c r="BH61" s="2"/>
    </row>
    <row r="62" spans="1:60" x14ac:dyDescent="0.2">
      <c r="A62" s="2" t="s">
        <v>184</v>
      </c>
      <c r="B62" s="2"/>
      <c r="C62" s="2"/>
      <c r="E62" s="2">
        <v>25300</v>
      </c>
      <c r="F62" s="2" t="s">
        <v>342</v>
      </c>
      <c r="G62" s="2">
        <v>2.2000000000000002</v>
      </c>
      <c r="H62" s="2">
        <v>-2.8499999999999996</v>
      </c>
      <c r="I62" s="2">
        <v>75</v>
      </c>
      <c r="J62" s="8">
        <v>45929.569027777776</v>
      </c>
      <c r="K62" s="2">
        <v>9828075</v>
      </c>
      <c r="L62" s="2">
        <v>1287000</v>
      </c>
      <c r="M62" s="2">
        <v>2.59</v>
      </c>
      <c r="N62" s="2">
        <v>4.05</v>
      </c>
      <c r="O62" s="2">
        <v>4.25</v>
      </c>
      <c r="P62" s="2">
        <v>2.0499999999999998</v>
      </c>
      <c r="Q62" s="2">
        <v>2.15</v>
      </c>
      <c r="R62" s="2">
        <v>2.2000000000000002</v>
      </c>
      <c r="S62" s="2">
        <v>5.05</v>
      </c>
      <c r="T62" s="2">
        <v>81881175</v>
      </c>
      <c r="U62" s="2">
        <v>133804</v>
      </c>
      <c r="V62" s="2">
        <v>-3782</v>
      </c>
      <c r="W62" s="2">
        <v>-583.75</v>
      </c>
      <c r="X62" s="2">
        <v>585.95000000000005</v>
      </c>
      <c r="Y62" s="2">
        <v>0.20870032860892596</v>
      </c>
      <c r="Z62" s="2">
        <v>2.1299046412169377E-2</v>
      </c>
      <c r="AA62" s="2">
        <v>1.8227750278112156E-4</v>
      </c>
      <c r="AB62" s="2">
        <v>1.5465359739419589E-2</v>
      </c>
      <c r="AC62" s="2">
        <v>-6.7875031352849566</v>
      </c>
      <c r="AD62" s="2">
        <v>0.68557883273482245</v>
      </c>
      <c r="AE62" s="2">
        <v>25300</v>
      </c>
      <c r="AF62" s="2" t="s">
        <v>343</v>
      </c>
      <c r="AG62" s="2">
        <v>546.75</v>
      </c>
      <c r="AH62" s="2">
        <v>-67.049999999999955</v>
      </c>
      <c r="AI62" s="2">
        <v>75</v>
      </c>
      <c r="AJ62" s="8">
        <v>45929.568958333337</v>
      </c>
      <c r="AK62" s="2">
        <v>41400</v>
      </c>
      <c r="AL62" s="2">
        <v>21750</v>
      </c>
      <c r="AM62" s="2">
        <v>529.52</v>
      </c>
      <c r="AN62" s="2">
        <v>570</v>
      </c>
      <c r="AO62" s="2">
        <v>655.20000000000005</v>
      </c>
      <c r="AP62" s="2">
        <v>459.75</v>
      </c>
      <c r="AQ62" s="2">
        <v>550.35</v>
      </c>
      <c r="AR62" s="2">
        <v>552.54999999999995</v>
      </c>
      <c r="AS62" s="2">
        <v>613.79999999999995</v>
      </c>
      <c r="AT62" s="2">
        <v>1022625</v>
      </c>
      <c r="AU62" s="2">
        <v>15585</v>
      </c>
      <c r="AV62" s="2">
        <v>-3080</v>
      </c>
      <c r="AW62" s="2">
        <v>583.75</v>
      </c>
      <c r="AX62" s="2">
        <v>-37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F62" s="2"/>
      <c r="BG62" s="2"/>
      <c r="BH62" s="2"/>
    </row>
    <row r="63" spans="1:60" x14ac:dyDescent="0.2">
      <c r="A63" s="2" t="s">
        <v>185</v>
      </c>
      <c r="B63" s="2"/>
      <c r="C63" s="2"/>
      <c r="E63" s="2">
        <v>25350</v>
      </c>
      <c r="F63" s="2" t="s">
        <v>342</v>
      </c>
      <c r="G63" s="2">
        <v>2</v>
      </c>
      <c r="H63" s="2">
        <v>-2.5</v>
      </c>
      <c r="I63" s="2">
        <v>150</v>
      </c>
      <c r="J63" s="8">
        <v>45929.569027777776</v>
      </c>
      <c r="K63" s="2">
        <v>6967200</v>
      </c>
      <c r="L63" s="2">
        <v>601875</v>
      </c>
      <c r="M63" s="2">
        <v>2.38</v>
      </c>
      <c r="N63" s="2">
        <v>2.85</v>
      </c>
      <c r="O63" s="2">
        <v>3.45</v>
      </c>
      <c r="P63" s="2">
        <v>1.9</v>
      </c>
      <c r="Q63" s="2">
        <v>2</v>
      </c>
      <c r="R63" s="2">
        <v>2.0499999999999998</v>
      </c>
      <c r="S63" s="2">
        <v>4.5</v>
      </c>
      <c r="T63" s="2">
        <v>38476800</v>
      </c>
      <c r="U63" s="2">
        <v>48030</v>
      </c>
      <c r="V63" s="2">
        <v>-1661</v>
      </c>
      <c r="W63" s="2">
        <v>-633.75</v>
      </c>
      <c r="X63" s="2">
        <v>635.75</v>
      </c>
      <c r="Y63" s="2">
        <v>0.22055545949074265</v>
      </c>
      <c r="Z63" s="2">
        <v>1.8633566052685516E-2</v>
      </c>
      <c r="AA63" s="2">
        <v>1.5398262034181683E-4</v>
      </c>
      <c r="AB63" s="2">
        <v>1.3527718628325823E-2</v>
      </c>
      <c r="AC63" s="2">
        <v>-6.393928570574567</v>
      </c>
      <c r="AD63" s="2">
        <v>0.61205544108676058</v>
      </c>
      <c r="AE63" s="2">
        <v>25350</v>
      </c>
      <c r="AF63" s="2" t="s">
        <v>343</v>
      </c>
      <c r="AG63" s="2">
        <v>611.20000000000005</v>
      </c>
      <c r="AH63" s="2">
        <v>-52.149999999999977</v>
      </c>
      <c r="AI63" s="2">
        <v>75</v>
      </c>
      <c r="AJ63" s="8">
        <v>45929.566168981481</v>
      </c>
      <c r="AK63" s="2">
        <v>29625</v>
      </c>
      <c r="AL63" s="2">
        <v>19050</v>
      </c>
      <c r="AM63" s="2">
        <v>581.32000000000005</v>
      </c>
      <c r="AN63" s="2">
        <v>610</v>
      </c>
      <c r="AO63" s="2">
        <v>703.25</v>
      </c>
      <c r="AP63" s="2">
        <v>510.05</v>
      </c>
      <c r="AQ63" s="2">
        <v>600.9</v>
      </c>
      <c r="AR63" s="2">
        <v>603.20000000000005</v>
      </c>
      <c r="AS63" s="2">
        <v>663.35</v>
      </c>
      <c r="AT63" s="2">
        <v>80175</v>
      </c>
      <c r="AU63" s="2">
        <v>2467</v>
      </c>
      <c r="AV63" s="2">
        <v>-164</v>
      </c>
      <c r="AW63" s="2">
        <v>633.75</v>
      </c>
      <c r="AX63" s="2">
        <v>-22.549999999999955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F63" s="2"/>
      <c r="BG63" s="2"/>
      <c r="BH63" s="2"/>
    </row>
    <row r="64" spans="1:60" x14ac:dyDescent="0.2">
      <c r="A64" s="2" t="s">
        <v>186</v>
      </c>
      <c r="B64" s="2"/>
      <c r="C64" s="2"/>
      <c r="E64" s="2">
        <v>25400</v>
      </c>
      <c r="F64" s="2" t="s">
        <v>342</v>
      </c>
      <c r="G64" s="2">
        <v>1.95</v>
      </c>
      <c r="H64" s="2">
        <v>-2.0499999999999998</v>
      </c>
      <c r="I64" s="2">
        <v>900</v>
      </c>
      <c r="J64" s="8">
        <v>45929.569027777776</v>
      </c>
      <c r="K64" s="2">
        <v>11460600</v>
      </c>
      <c r="L64" s="2">
        <v>1513350</v>
      </c>
      <c r="M64" s="2">
        <v>2.2400000000000002</v>
      </c>
      <c r="N64" s="2">
        <v>2.9</v>
      </c>
      <c r="O64" s="2">
        <v>3.2</v>
      </c>
      <c r="P64" s="2">
        <v>1.8</v>
      </c>
      <c r="Q64" s="2">
        <v>1.9</v>
      </c>
      <c r="R64" s="2">
        <v>1.95</v>
      </c>
      <c r="S64" s="2">
        <v>4</v>
      </c>
      <c r="T64" s="2">
        <v>56902800</v>
      </c>
      <c r="U64" s="2">
        <v>112125</v>
      </c>
      <c r="V64" s="2">
        <v>11321</v>
      </c>
      <c r="W64" s="2">
        <v>-683.75</v>
      </c>
      <c r="X64" s="2">
        <v>685.7</v>
      </c>
      <c r="Y64" s="2">
        <v>0.2343881334344585</v>
      </c>
      <c r="Z64" s="2">
        <v>1.7259571059084836E-2</v>
      </c>
      <c r="AA64" s="2">
        <v>1.3573296612434267E-4</v>
      </c>
      <c r="AB64" s="2">
        <v>1.2527340003808531E-2</v>
      </c>
      <c r="AC64" s="2">
        <v>-6.356545557920648</v>
      </c>
      <c r="AD64" s="2">
        <v>0.57335310227497416</v>
      </c>
      <c r="AE64" s="2">
        <v>25400</v>
      </c>
      <c r="AF64" s="2" t="s">
        <v>343</v>
      </c>
      <c r="AG64" s="2">
        <v>650.79999999999995</v>
      </c>
      <c r="AH64" s="2">
        <v>-61.650000000000091</v>
      </c>
      <c r="AI64" s="2">
        <v>75</v>
      </c>
      <c r="AJ64" s="8">
        <v>45929.568958333337</v>
      </c>
      <c r="AK64" s="2">
        <v>38850</v>
      </c>
      <c r="AL64" s="2">
        <v>22650</v>
      </c>
      <c r="AM64" s="2">
        <v>634.49</v>
      </c>
      <c r="AN64" s="2">
        <v>635</v>
      </c>
      <c r="AO64" s="2">
        <v>752.9</v>
      </c>
      <c r="AP64" s="2">
        <v>559.4</v>
      </c>
      <c r="AQ64" s="2">
        <v>650.20000000000005</v>
      </c>
      <c r="AR64" s="2">
        <v>652.1</v>
      </c>
      <c r="AS64" s="2">
        <v>712.45</v>
      </c>
      <c r="AT64" s="2">
        <v>289650</v>
      </c>
      <c r="AU64" s="2">
        <v>7475</v>
      </c>
      <c r="AV64" s="2">
        <v>-1283</v>
      </c>
      <c r="AW64" s="2">
        <v>683.75</v>
      </c>
      <c r="AX64" s="2">
        <v>-32.950000000000045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F64" s="2"/>
      <c r="BG64" s="2"/>
      <c r="BH64" s="2"/>
    </row>
    <row r="65" spans="1:60" x14ac:dyDescent="0.2">
      <c r="A65" s="2" t="s">
        <v>187</v>
      </c>
      <c r="B65" s="2"/>
      <c r="C65" s="2"/>
      <c r="E65" s="2">
        <v>25450</v>
      </c>
      <c r="F65" s="2" t="s">
        <v>342</v>
      </c>
      <c r="G65" s="2">
        <v>1.75</v>
      </c>
      <c r="H65" s="2">
        <v>-1.9500000000000002</v>
      </c>
      <c r="I65" s="2">
        <v>525</v>
      </c>
      <c r="J65" s="8">
        <v>45929.569016203706</v>
      </c>
      <c r="K65" s="2">
        <v>7212975</v>
      </c>
      <c r="L65" s="2">
        <v>1434900</v>
      </c>
      <c r="M65" s="2">
        <v>2.1</v>
      </c>
      <c r="N65" s="2">
        <v>2.25</v>
      </c>
      <c r="O65" s="2">
        <v>2.85</v>
      </c>
      <c r="P65" s="2">
        <v>1.7</v>
      </c>
      <c r="Q65" s="2">
        <v>1.7</v>
      </c>
      <c r="R65" s="2">
        <v>1.75</v>
      </c>
      <c r="S65" s="2">
        <v>3.7</v>
      </c>
      <c r="T65" s="2">
        <v>28174575</v>
      </c>
      <c r="U65" s="2">
        <v>41955</v>
      </c>
      <c r="V65" s="2">
        <v>-1389</v>
      </c>
      <c r="W65" s="2">
        <v>-733.75</v>
      </c>
      <c r="X65" s="2">
        <v>735.5</v>
      </c>
      <c r="Y65" s="2">
        <v>0.2451123057808007</v>
      </c>
      <c r="Z65" s="2">
        <v>1.5056142246659601E-2</v>
      </c>
      <c r="AA65" s="2">
        <v>1.1545930743472899E-4</v>
      </c>
      <c r="AB65" s="2">
        <v>1.0926605662936451E-2</v>
      </c>
      <c r="AC65" s="2">
        <v>-5.9064643711324045</v>
      </c>
      <c r="AD65" s="2">
        <v>0.51002956483344175</v>
      </c>
      <c r="AE65" s="2">
        <v>25450</v>
      </c>
      <c r="AF65" s="2" t="s">
        <v>343</v>
      </c>
      <c r="AG65" s="2">
        <v>700.7</v>
      </c>
      <c r="AH65" s="2">
        <v>-65.25</v>
      </c>
      <c r="AI65" s="2">
        <v>75</v>
      </c>
      <c r="AJ65" s="8">
        <v>45929.568993055553</v>
      </c>
      <c r="AK65" s="2">
        <v>58875</v>
      </c>
      <c r="AL65" s="2">
        <v>13650</v>
      </c>
      <c r="AM65" s="2">
        <v>679.4</v>
      </c>
      <c r="AN65" s="2">
        <v>692.4</v>
      </c>
      <c r="AO65" s="2">
        <v>798</v>
      </c>
      <c r="AP65" s="2">
        <v>611.9</v>
      </c>
      <c r="AQ65" s="2">
        <v>700.25</v>
      </c>
      <c r="AR65" s="2">
        <v>703</v>
      </c>
      <c r="AS65" s="2">
        <v>765.95</v>
      </c>
      <c r="AT65" s="2">
        <v>30150</v>
      </c>
      <c r="AU65" s="2">
        <v>1227</v>
      </c>
      <c r="AV65" s="2">
        <v>-85</v>
      </c>
      <c r="AW65" s="2">
        <v>733.75</v>
      </c>
      <c r="AX65" s="2">
        <v>-33.049999999999955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F65" s="2"/>
      <c r="BG65" s="2"/>
      <c r="BH65" s="2"/>
    </row>
    <row r="66" spans="1:60" x14ac:dyDescent="0.2">
      <c r="A66" s="2" t="s">
        <v>188</v>
      </c>
      <c r="B66" s="2"/>
      <c r="C66" s="2"/>
      <c r="E66" s="2">
        <v>25500</v>
      </c>
      <c r="F66" s="2" t="s">
        <v>342</v>
      </c>
      <c r="G66" s="2">
        <v>1.75</v>
      </c>
      <c r="H66" s="2">
        <v>-1.7999999999999998</v>
      </c>
      <c r="I66" s="2">
        <v>150</v>
      </c>
      <c r="J66" s="8">
        <v>45929.569027777776</v>
      </c>
      <c r="K66" s="2">
        <v>14731125</v>
      </c>
      <c r="L66" s="2">
        <v>2472300</v>
      </c>
      <c r="M66" s="2">
        <v>2.0299999999999998</v>
      </c>
      <c r="N66" s="2">
        <v>1.95</v>
      </c>
      <c r="O66" s="2">
        <v>2.65</v>
      </c>
      <c r="P66" s="2">
        <v>1.65</v>
      </c>
      <c r="Q66" s="2">
        <v>1.75</v>
      </c>
      <c r="R66" s="2">
        <v>1.8</v>
      </c>
      <c r="S66" s="2">
        <v>3.55</v>
      </c>
      <c r="T66" s="2">
        <v>86625600</v>
      </c>
      <c r="U66" s="2">
        <v>226526</v>
      </c>
      <c r="V66" s="2">
        <v>14050</v>
      </c>
      <c r="W66" s="2">
        <v>-783.75</v>
      </c>
      <c r="X66" s="2">
        <v>785.5</v>
      </c>
      <c r="Y66" s="2">
        <v>0.25931319464091201</v>
      </c>
      <c r="Z66" s="2">
        <v>1.4318355441939703E-2</v>
      </c>
      <c r="AA66" s="2">
        <v>1.0451941944671254E-4</v>
      </c>
      <c r="AB66" s="2">
        <v>1.0388643530662007E-2</v>
      </c>
      <c r="AC66" s="2">
        <v>-5.9779840196908891</v>
      </c>
      <c r="AD66" s="2">
        <v>0.48845300173377432</v>
      </c>
      <c r="AE66" s="2">
        <v>25500</v>
      </c>
      <c r="AF66" s="2" t="s">
        <v>343</v>
      </c>
      <c r="AG66" s="2">
        <v>754.2</v>
      </c>
      <c r="AH66" s="2">
        <v>-61.449999999999932</v>
      </c>
      <c r="AI66" s="2">
        <v>150</v>
      </c>
      <c r="AJ66" s="8">
        <v>45929.568796296298</v>
      </c>
      <c r="AK66" s="2">
        <v>411375</v>
      </c>
      <c r="AL66" s="2">
        <v>36675</v>
      </c>
      <c r="AM66" s="2">
        <v>759.27</v>
      </c>
      <c r="AN66" s="2">
        <v>760.65</v>
      </c>
      <c r="AO66" s="2">
        <v>856.95</v>
      </c>
      <c r="AP66" s="2">
        <v>659.6</v>
      </c>
      <c r="AQ66" s="2">
        <v>751</v>
      </c>
      <c r="AR66" s="2">
        <v>752.75</v>
      </c>
      <c r="AS66" s="2">
        <v>815.65</v>
      </c>
      <c r="AT66" s="2">
        <v>799500</v>
      </c>
      <c r="AU66" s="2">
        <v>21443</v>
      </c>
      <c r="AV66" s="2">
        <v>-1127</v>
      </c>
      <c r="AW66" s="2">
        <v>783.75</v>
      </c>
      <c r="AX66" s="2">
        <v>-29.549999999999955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F66" s="2"/>
      <c r="BG66" s="2"/>
      <c r="BH66" s="2"/>
    </row>
    <row r="67" spans="1:60" x14ac:dyDescent="0.2">
      <c r="A67" s="2" t="s">
        <v>189</v>
      </c>
      <c r="B67" s="2"/>
      <c r="C67" s="2"/>
      <c r="E67" s="2">
        <v>25550</v>
      </c>
      <c r="F67" s="2" t="s">
        <v>342</v>
      </c>
      <c r="G67" s="2">
        <v>1.6</v>
      </c>
      <c r="H67" s="2">
        <v>-1.5499999999999998</v>
      </c>
      <c r="I67" s="2">
        <v>450</v>
      </c>
      <c r="J67" s="8">
        <v>45929.569027777776</v>
      </c>
      <c r="K67" s="2">
        <v>7387725</v>
      </c>
      <c r="L67" s="2">
        <v>1386150</v>
      </c>
      <c r="M67" s="2">
        <v>1.86</v>
      </c>
      <c r="N67" s="2">
        <v>1.9</v>
      </c>
      <c r="O67" s="2">
        <v>2.4500000000000002</v>
      </c>
      <c r="P67" s="2">
        <v>1.45</v>
      </c>
      <c r="Q67" s="2">
        <v>1.55</v>
      </c>
      <c r="R67" s="2">
        <v>1.6</v>
      </c>
      <c r="S67" s="2">
        <v>3.15</v>
      </c>
      <c r="T67" s="2">
        <v>25482750</v>
      </c>
      <c r="U67" s="2">
        <v>36003</v>
      </c>
      <c r="V67" s="2">
        <v>-6576</v>
      </c>
      <c r="W67" s="2">
        <v>-833.75</v>
      </c>
      <c r="X67" s="2">
        <v>835.35</v>
      </c>
      <c r="Y67" s="2">
        <v>0.27009230197642931</v>
      </c>
      <c r="Z67" s="2">
        <v>1.2739312548996237E-2</v>
      </c>
      <c r="AA67" s="2">
        <v>9.0719942786317084E-5</v>
      </c>
      <c r="AB67" s="2">
        <v>9.2417055862348465E-3</v>
      </c>
      <c r="AC67" s="2">
        <v>-5.6240376170810507</v>
      </c>
      <c r="AD67" s="2">
        <v>0.44158689925836914</v>
      </c>
      <c r="AE67" s="2">
        <v>25550</v>
      </c>
      <c r="AF67" s="2" t="s">
        <v>343</v>
      </c>
      <c r="AG67" s="2">
        <v>805</v>
      </c>
      <c r="AH67" s="2">
        <v>-59.600000000000023</v>
      </c>
      <c r="AI67" s="2">
        <v>75</v>
      </c>
      <c r="AJ67" s="8">
        <v>45929.566655092596</v>
      </c>
      <c r="AK67" s="2">
        <v>22125</v>
      </c>
      <c r="AL67" s="2">
        <v>12225</v>
      </c>
      <c r="AM67" s="2">
        <v>785.76</v>
      </c>
      <c r="AN67" s="2">
        <v>791.9</v>
      </c>
      <c r="AO67" s="2">
        <v>897.3</v>
      </c>
      <c r="AP67" s="2">
        <v>713.9</v>
      </c>
      <c r="AQ67" s="2">
        <v>800.85</v>
      </c>
      <c r="AR67" s="2">
        <v>803.3</v>
      </c>
      <c r="AS67" s="2">
        <v>864.6</v>
      </c>
      <c r="AT67" s="2">
        <v>13725</v>
      </c>
      <c r="AU67" s="2">
        <v>769</v>
      </c>
      <c r="AV67" s="2">
        <v>0</v>
      </c>
      <c r="AW67" s="2">
        <v>833.75</v>
      </c>
      <c r="AX67" s="2">
        <v>-28.75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F67" s="2"/>
      <c r="BG67" s="2"/>
      <c r="BH67" s="2"/>
    </row>
    <row r="68" spans="1:60" x14ac:dyDescent="0.2">
      <c r="A68" s="2" t="s">
        <v>190</v>
      </c>
      <c r="B68" s="2"/>
      <c r="C68" s="2"/>
      <c r="E68" s="2">
        <v>25600</v>
      </c>
      <c r="F68" s="2" t="s">
        <v>342</v>
      </c>
      <c r="G68" s="2">
        <v>1.5</v>
      </c>
      <c r="H68" s="2">
        <v>-1.4500000000000002</v>
      </c>
      <c r="I68" s="2">
        <v>600</v>
      </c>
      <c r="J68" s="8">
        <v>45929.569027777776</v>
      </c>
      <c r="K68" s="2">
        <v>11993550</v>
      </c>
      <c r="L68" s="2">
        <v>2135025</v>
      </c>
      <c r="M68" s="2">
        <v>1.72</v>
      </c>
      <c r="N68" s="2">
        <v>2.5</v>
      </c>
      <c r="O68" s="2">
        <v>2.5</v>
      </c>
      <c r="P68" s="2">
        <v>1.35</v>
      </c>
      <c r="Q68" s="2">
        <v>1.45</v>
      </c>
      <c r="R68" s="2">
        <v>1.5</v>
      </c>
      <c r="S68" s="2">
        <v>2.95</v>
      </c>
      <c r="T68" s="2">
        <v>53080575</v>
      </c>
      <c r="U68" s="2">
        <v>90644</v>
      </c>
      <c r="V68" s="2">
        <v>-19070</v>
      </c>
      <c r="W68" s="2">
        <v>-883.75</v>
      </c>
      <c r="X68" s="2">
        <v>885.25</v>
      </c>
      <c r="Y68" s="2">
        <v>0.28151244738983328</v>
      </c>
      <c r="Z68" s="2">
        <v>1.1582835767203776E-2</v>
      </c>
      <c r="AA68" s="2">
        <v>8.0147906298244518E-5</v>
      </c>
      <c r="AB68" s="2">
        <v>8.4014084460422005E-3</v>
      </c>
      <c r="AC68" s="2">
        <v>-5.3933463861604798</v>
      </c>
      <c r="AD68" s="2">
        <v>0.40662216921243471</v>
      </c>
      <c r="AE68" s="2">
        <v>25600</v>
      </c>
      <c r="AF68" s="2" t="s">
        <v>343</v>
      </c>
      <c r="AG68" s="2">
        <v>856.9</v>
      </c>
      <c r="AH68" s="2">
        <v>-56.350000000000023</v>
      </c>
      <c r="AI68" s="2">
        <v>75</v>
      </c>
      <c r="AJ68" s="8">
        <v>45929.568541666667</v>
      </c>
      <c r="AK68" s="2">
        <v>31275</v>
      </c>
      <c r="AL68" s="2">
        <v>18600</v>
      </c>
      <c r="AM68" s="2">
        <v>849.81</v>
      </c>
      <c r="AN68" s="2">
        <v>833.3</v>
      </c>
      <c r="AO68" s="2">
        <v>952</v>
      </c>
      <c r="AP68" s="2">
        <v>759.05</v>
      </c>
      <c r="AQ68" s="2">
        <v>850.5</v>
      </c>
      <c r="AR68" s="2">
        <v>853.05</v>
      </c>
      <c r="AS68" s="2">
        <v>913.25</v>
      </c>
      <c r="AT68" s="2">
        <v>96150</v>
      </c>
      <c r="AU68" s="2">
        <v>1933</v>
      </c>
      <c r="AV68" s="2">
        <v>-498</v>
      </c>
      <c r="AW68" s="2">
        <v>883.75</v>
      </c>
      <c r="AX68" s="2">
        <v>-26.850000000000023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F68" s="2"/>
      <c r="BG68" s="2"/>
      <c r="BH68" s="2"/>
    </row>
    <row r="69" spans="1:60" x14ac:dyDescent="0.2">
      <c r="A69" s="2" t="s">
        <v>191</v>
      </c>
      <c r="B69" s="2"/>
      <c r="C69" s="2"/>
      <c r="E69" s="2">
        <v>25650</v>
      </c>
      <c r="F69" s="2" t="s">
        <v>342</v>
      </c>
      <c r="G69" s="2">
        <v>1.6</v>
      </c>
      <c r="H69" s="2">
        <v>-1.25</v>
      </c>
      <c r="I69" s="2">
        <v>75</v>
      </c>
      <c r="J69" s="8">
        <v>45929.569027777776</v>
      </c>
      <c r="K69" s="2">
        <v>7411725</v>
      </c>
      <c r="L69" s="2">
        <v>1219425</v>
      </c>
      <c r="M69" s="2">
        <v>1.74</v>
      </c>
      <c r="N69" s="2">
        <v>2.15</v>
      </c>
      <c r="O69" s="2">
        <v>2.25</v>
      </c>
      <c r="P69" s="2">
        <v>1.4</v>
      </c>
      <c r="Q69" s="2">
        <v>1.55</v>
      </c>
      <c r="R69" s="2">
        <v>1.6</v>
      </c>
      <c r="S69" s="2">
        <v>2.85</v>
      </c>
      <c r="T69" s="2">
        <v>18141450</v>
      </c>
      <c r="U69" s="2">
        <v>28016</v>
      </c>
      <c r="V69" s="2">
        <v>5357</v>
      </c>
      <c r="W69" s="2">
        <v>-933.75</v>
      </c>
      <c r="X69" s="2">
        <v>935.35</v>
      </c>
      <c r="Y69" s="2">
        <v>0.29763392327482535</v>
      </c>
      <c r="Z69" s="2">
        <v>1.1678453066074517E-2</v>
      </c>
      <c r="AA69" s="2">
        <v>7.6349665699886542E-5</v>
      </c>
      <c r="AB69" s="2">
        <v>8.4681793389731076E-3</v>
      </c>
      <c r="AC69" s="2">
        <v>-5.7386153489206579</v>
      </c>
      <c r="AD69" s="2">
        <v>0.40953488949456268</v>
      </c>
      <c r="AE69" s="2">
        <v>25650</v>
      </c>
      <c r="AF69" s="2" t="s">
        <v>343</v>
      </c>
      <c r="AG69" s="2">
        <v>905.65</v>
      </c>
      <c r="AH69" s="2">
        <v>-53.350000000000023</v>
      </c>
      <c r="AI69" s="2">
        <v>75</v>
      </c>
      <c r="AJ69" s="8">
        <v>45929.566053240742</v>
      </c>
      <c r="AK69" s="2">
        <v>16725</v>
      </c>
      <c r="AL69" s="2">
        <v>12525</v>
      </c>
      <c r="AM69" s="2">
        <v>884.2</v>
      </c>
      <c r="AN69" s="2">
        <v>921.95</v>
      </c>
      <c r="AO69" s="2">
        <v>993</v>
      </c>
      <c r="AP69" s="2">
        <v>815</v>
      </c>
      <c r="AQ69" s="2">
        <v>900.25</v>
      </c>
      <c r="AR69" s="2">
        <v>903</v>
      </c>
      <c r="AS69" s="2">
        <v>959</v>
      </c>
      <c r="AT69" s="2">
        <v>8100</v>
      </c>
      <c r="AU69" s="2">
        <v>311</v>
      </c>
      <c r="AV69" s="2">
        <v>-59</v>
      </c>
      <c r="AW69" s="2">
        <v>933.75</v>
      </c>
      <c r="AX69" s="2">
        <v>-28.100000000000023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F69" s="2"/>
      <c r="BG69" s="2"/>
      <c r="BH69" s="2"/>
    </row>
    <row r="70" spans="1:60" x14ac:dyDescent="0.2">
      <c r="A70" s="2" t="s">
        <v>192</v>
      </c>
      <c r="B70" s="2"/>
      <c r="C70" s="2"/>
      <c r="E70" s="2">
        <v>25700</v>
      </c>
      <c r="F70" s="2" t="s">
        <v>342</v>
      </c>
      <c r="G70" s="2">
        <v>1.5</v>
      </c>
      <c r="H70" s="2">
        <v>-1.2999999999999998</v>
      </c>
      <c r="I70" s="2">
        <v>225</v>
      </c>
      <c r="J70" s="8">
        <v>45929.569027777776</v>
      </c>
      <c r="K70" s="2">
        <v>13731825</v>
      </c>
      <c r="L70" s="2">
        <v>1983225</v>
      </c>
      <c r="M70" s="2">
        <v>1.64</v>
      </c>
      <c r="N70" s="2">
        <v>2</v>
      </c>
      <c r="O70" s="2">
        <v>2.1</v>
      </c>
      <c r="P70" s="2">
        <v>1.3</v>
      </c>
      <c r="Q70" s="2">
        <v>1.5</v>
      </c>
      <c r="R70" s="2">
        <v>1.55</v>
      </c>
      <c r="S70" s="2">
        <v>2.8</v>
      </c>
      <c r="T70" s="2">
        <v>40564125</v>
      </c>
      <c r="U70" s="2">
        <v>108538</v>
      </c>
      <c r="V70" s="2">
        <v>13313</v>
      </c>
      <c r="W70" s="2">
        <v>-983.75</v>
      </c>
      <c r="X70" s="2">
        <v>985.25</v>
      </c>
      <c r="Y70" s="2">
        <v>0.30866158469455612</v>
      </c>
      <c r="Z70" s="2">
        <v>1.0664626267505551E-2</v>
      </c>
      <c r="AA70" s="2">
        <v>6.803217784393572E-5</v>
      </c>
      <c r="AB70" s="2">
        <v>7.7318928596501434E-3</v>
      </c>
      <c r="AC70" s="2">
        <v>-5.4958322717348054</v>
      </c>
      <c r="AD70" s="2">
        <v>0.37844102046884637</v>
      </c>
      <c r="AE70" s="2">
        <v>25700</v>
      </c>
      <c r="AF70" s="2" t="s">
        <v>343</v>
      </c>
      <c r="AG70" s="2">
        <v>954.75</v>
      </c>
      <c r="AH70" s="2">
        <v>-56.299999999999955</v>
      </c>
      <c r="AI70" s="2">
        <v>75</v>
      </c>
      <c r="AJ70" s="8">
        <v>45929.566041666665</v>
      </c>
      <c r="AK70" s="2">
        <v>15300</v>
      </c>
      <c r="AL70" s="2">
        <v>15000</v>
      </c>
      <c r="AM70" s="2">
        <v>947.89</v>
      </c>
      <c r="AN70" s="2">
        <v>961</v>
      </c>
      <c r="AO70" s="2">
        <v>1045.3499999999999</v>
      </c>
      <c r="AP70" s="2">
        <v>861.9</v>
      </c>
      <c r="AQ70" s="2">
        <v>950.1</v>
      </c>
      <c r="AR70" s="2">
        <v>952.8</v>
      </c>
      <c r="AS70" s="2">
        <v>1011.05</v>
      </c>
      <c r="AT70" s="2">
        <v>73050</v>
      </c>
      <c r="AU70" s="2">
        <v>1318</v>
      </c>
      <c r="AV70" s="2">
        <v>-276</v>
      </c>
      <c r="AW70" s="2">
        <v>983.75</v>
      </c>
      <c r="AX70" s="2">
        <v>-29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F70" s="2"/>
      <c r="BG70" s="2"/>
      <c r="BH70" s="2"/>
    </row>
    <row r="71" spans="1:60" x14ac:dyDescent="0.2">
      <c r="A71" s="2" t="s">
        <v>193</v>
      </c>
      <c r="B71" s="2"/>
      <c r="C71" s="2"/>
      <c r="E71" s="2">
        <v>25750</v>
      </c>
      <c r="F71" s="2" t="s">
        <v>342</v>
      </c>
      <c r="G71" s="2">
        <v>1.5</v>
      </c>
      <c r="H71" s="2">
        <v>-1.1000000000000001</v>
      </c>
      <c r="I71" s="2">
        <v>75</v>
      </c>
      <c r="J71" s="8">
        <v>45929.569027777776</v>
      </c>
      <c r="K71" s="2">
        <v>7481325</v>
      </c>
      <c r="L71" s="2">
        <v>1444500</v>
      </c>
      <c r="M71" s="2">
        <v>1.56</v>
      </c>
      <c r="N71" s="2">
        <v>1.8</v>
      </c>
      <c r="O71" s="2">
        <v>2.1</v>
      </c>
      <c r="P71" s="2">
        <v>1.25</v>
      </c>
      <c r="Q71" s="2">
        <v>1.45</v>
      </c>
      <c r="R71" s="2">
        <v>1.5</v>
      </c>
      <c r="S71" s="2">
        <v>2.6</v>
      </c>
      <c r="T71" s="2">
        <v>18252975</v>
      </c>
      <c r="U71" s="2">
        <v>33752</v>
      </c>
      <c r="V71" s="2">
        <v>2526</v>
      </c>
      <c r="W71" s="2">
        <v>-1033.75</v>
      </c>
      <c r="X71" s="2">
        <v>1035.25</v>
      </c>
      <c r="Y71" s="2">
        <v>0.32208745030741903</v>
      </c>
      <c r="Z71" s="2">
        <v>1.0264601425983221E-2</v>
      </c>
      <c r="AA71" s="2">
        <v>6.3059904416850121E-5</v>
      </c>
      <c r="AB71" s="2">
        <v>7.4402123280172148E-3</v>
      </c>
      <c r="AC71" s="2">
        <v>-5.5435808511617939</v>
      </c>
      <c r="AD71" s="2">
        <v>0.366039783768906</v>
      </c>
      <c r="AE71" s="2">
        <v>25750</v>
      </c>
      <c r="AF71" s="2" t="s">
        <v>343</v>
      </c>
      <c r="AG71" s="2">
        <v>1096</v>
      </c>
      <c r="AH71" s="2">
        <v>24.200000000000045</v>
      </c>
      <c r="AI71" s="2">
        <v>75</v>
      </c>
      <c r="AJ71" s="8">
        <v>45929.531215277777</v>
      </c>
      <c r="AK71" s="2">
        <v>11925</v>
      </c>
      <c r="AL71" s="2">
        <v>13425</v>
      </c>
      <c r="AM71" s="2">
        <v>968.93</v>
      </c>
      <c r="AN71" s="2">
        <v>1022.25</v>
      </c>
      <c r="AO71" s="2">
        <v>1100</v>
      </c>
      <c r="AP71" s="2">
        <v>920.3</v>
      </c>
      <c r="AQ71" s="2">
        <v>999.85</v>
      </c>
      <c r="AR71" s="2">
        <v>1003.45</v>
      </c>
      <c r="AS71" s="2">
        <v>1071.8</v>
      </c>
      <c r="AT71" s="2">
        <v>5100</v>
      </c>
      <c r="AU71" s="2">
        <v>245</v>
      </c>
      <c r="AV71" s="2">
        <v>3</v>
      </c>
      <c r="AW71" s="2">
        <v>1033.75</v>
      </c>
      <c r="AX71" s="2">
        <v>62.25</v>
      </c>
      <c r="AY71" s="2">
        <v>0.70011709964237323</v>
      </c>
      <c r="AZ71" s="2">
        <v>-0.85330795531574233</v>
      </c>
      <c r="BA71" s="2">
        <v>2.4440066999641829E-4</v>
      </c>
      <c r="BB71" s="2">
        <v>-0.65452509091096323</v>
      </c>
      <c r="BC71" s="2">
        <v>-94.171874586287956</v>
      </c>
      <c r="BD71" s="2">
        <v>3.0837155825058353</v>
      </c>
      <c r="BF71" s="2"/>
      <c r="BG71" s="2"/>
      <c r="BH71" s="2"/>
    </row>
    <row r="72" spans="1:60" x14ac:dyDescent="0.2">
      <c r="A72" s="2" t="s">
        <v>194</v>
      </c>
      <c r="B72" s="2"/>
      <c r="C72" s="2"/>
      <c r="E72" s="2">
        <v>25800</v>
      </c>
      <c r="F72" s="2" t="s">
        <v>342</v>
      </c>
      <c r="G72" s="2">
        <v>1.4</v>
      </c>
      <c r="H72" s="2">
        <v>-1.0500000000000003</v>
      </c>
      <c r="I72" s="2">
        <v>75</v>
      </c>
      <c r="J72" s="8">
        <v>45929.569027777776</v>
      </c>
      <c r="K72" s="2">
        <v>13251075</v>
      </c>
      <c r="L72" s="2">
        <v>1437300</v>
      </c>
      <c r="M72" s="2">
        <v>1.5</v>
      </c>
      <c r="N72" s="2">
        <v>1.95</v>
      </c>
      <c r="O72" s="2">
        <v>1.95</v>
      </c>
      <c r="P72" s="2">
        <v>1.25</v>
      </c>
      <c r="Q72" s="2">
        <v>1.35</v>
      </c>
      <c r="R72" s="2">
        <v>1.4</v>
      </c>
      <c r="S72" s="2">
        <v>2.4500000000000002</v>
      </c>
      <c r="T72" s="2">
        <v>28231950</v>
      </c>
      <c r="U72" s="2">
        <v>76887</v>
      </c>
      <c r="V72" s="2">
        <v>-11871</v>
      </c>
      <c r="W72" s="2">
        <v>-1083.75</v>
      </c>
      <c r="X72" s="2">
        <v>1085.1500000000001</v>
      </c>
      <c r="Y72" s="2">
        <v>0.33253268440125378</v>
      </c>
      <c r="Z72" s="2">
        <v>9.3712612905303937E-3</v>
      </c>
      <c r="AA72" s="2">
        <v>5.6409716324983387E-5</v>
      </c>
      <c r="AB72" s="2">
        <v>6.7917814330280607E-3</v>
      </c>
      <c r="AC72" s="2">
        <v>-5.2830071850608018</v>
      </c>
      <c r="AD72" s="2">
        <v>0.33805663759696503</v>
      </c>
      <c r="AE72" s="2">
        <v>25800</v>
      </c>
      <c r="AF72" s="2" t="s">
        <v>343</v>
      </c>
      <c r="AG72" s="2">
        <v>1062.3</v>
      </c>
      <c r="AH72" s="2">
        <v>-49.850000000000136</v>
      </c>
      <c r="AI72" s="2">
        <v>75</v>
      </c>
      <c r="AJ72" s="8">
        <v>45929.565844907411</v>
      </c>
      <c r="AK72" s="2">
        <v>14175</v>
      </c>
      <c r="AL72" s="2">
        <v>12000</v>
      </c>
      <c r="AM72" s="2">
        <v>1027.72</v>
      </c>
      <c r="AN72" s="2">
        <v>1054</v>
      </c>
      <c r="AO72" s="2">
        <v>1147.8</v>
      </c>
      <c r="AP72" s="2">
        <v>968</v>
      </c>
      <c r="AQ72" s="2">
        <v>1049.5999999999999</v>
      </c>
      <c r="AR72" s="2">
        <v>1052.8</v>
      </c>
      <c r="AS72" s="2">
        <v>1112.1500000000001</v>
      </c>
      <c r="AT72" s="2">
        <v>53700</v>
      </c>
      <c r="AU72" s="2">
        <v>1656</v>
      </c>
      <c r="AV72" s="2">
        <v>-456</v>
      </c>
      <c r="AW72" s="2">
        <v>1083.75</v>
      </c>
      <c r="AX72" s="2">
        <v>-21.450000000000045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F72" s="2"/>
      <c r="BG72" s="2"/>
      <c r="BH72" s="2"/>
    </row>
    <row r="73" spans="1:60" x14ac:dyDescent="0.2">
      <c r="A73" s="2" t="s">
        <v>195</v>
      </c>
      <c r="B73" s="2"/>
      <c r="C73" s="2"/>
      <c r="E73" s="2">
        <v>25850</v>
      </c>
      <c r="F73" s="2" t="s">
        <v>342</v>
      </c>
      <c r="G73" s="2">
        <v>1.35</v>
      </c>
      <c r="H73" s="2">
        <v>-1.0499999999999998</v>
      </c>
      <c r="I73" s="2">
        <v>75</v>
      </c>
      <c r="J73" s="8">
        <v>45929.569004629629</v>
      </c>
      <c r="K73" s="2">
        <v>6008550</v>
      </c>
      <c r="L73" s="2">
        <v>913125</v>
      </c>
      <c r="M73" s="2">
        <v>1.45</v>
      </c>
      <c r="N73" s="2">
        <v>2</v>
      </c>
      <c r="O73" s="2">
        <v>2</v>
      </c>
      <c r="P73" s="2">
        <v>1.1499999999999999</v>
      </c>
      <c r="Q73" s="2">
        <v>1.3</v>
      </c>
      <c r="R73" s="2">
        <v>1.35</v>
      </c>
      <c r="S73" s="2">
        <v>2.4</v>
      </c>
      <c r="T73" s="2">
        <v>8883225</v>
      </c>
      <c r="U73" s="2">
        <v>11378</v>
      </c>
      <c r="V73" s="2">
        <v>-3472</v>
      </c>
      <c r="W73" s="2">
        <v>-1133.75</v>
      </c>
      <c r="X73" s="2">
        <v>1135.0999999999999</v>
      </c>
      <c r="Y73" s="2">
        <v>0.34414328242406655</v>
      </c>
      <c r="Z73" s="2">
        <v>8.7918991780364681E-3</v>
      </c>
      <c r="AA73" s="2">
        <v>5.1544131495409626E-5</v>
      </c>
      <c r="AB73" s="2">
        <v>6.3708136982895489E-3</v>
      </c>
      <c r="AC73" s="2">
        <v>-5.1677441971187337</v>
      </c>
      <c r="AD73" s="2">
        <v>0.31968318365410958</v>
      </c>
      <c r="AE73" s="2">
        <v>25850</v>
      </c>
      <c r="AF73" s="2" t="s">
        <v>343</v>
      </c>
      <c r="AG73" s="2">
        <v>1161.0999999999999</v>
      </c>
      <c r="AH73" s="2">
        <v>10.849999999999909</v>
      </c>
      <c r="AI73" s="2">
        <v>75</v>
      </c>
      <c r="AJ73" s="8">
        <v>45929.521828703706</v>
      </c>
      <c r="AK73" s="2">
        <v>11100</v>
      </c>
      <c r="AL73" s="2">
        <v>12450</v>
      </c>
      <c r="AM73" s="2">
        <v>1081.5999999999999</v>
      </c>
      <c r="AN73" s="2">
        <v>1122.05</v>
      </c>
      <c r="AO73" s="2">
        <v>1161.0999999999999</v>
      </c>
      <c r="AP73" s="2">
        <v>1020.35</v>
      </c>
      <c r="AQ73" s="2">
        <v>1099.4000000000001</v>
      </c>
      <c r="AR73" s="2">
        <v>1102.1500000000001</v>
      </c>
      <c r="AS73" s="2">
        <v>1150.25</v>
      </c>
      <c r="AT73" s="2">
        <v>2400</v>
      </c>
      <c r="AU73" s="2">
        <v>233</v>
      </c>
      <c r="AV73" s="2">
        <v>-7</v>
      </c>
      <c r="AW73" s="2">
        <v>1133.75</v>
      </c>
      <c r="AX73" s="2">
        <v>27.349999999999909</v>
      </c>
      <c r="AY73" s="2">
        <v>0.61154241281767163</v>
      </c>
      <c r="AZ73" s="2">
        <v>-0.90737498767923819</v>
      </c>
      <c r="BA73" s="2">
        <v>2.0206475800432967E-4</v>
      </c>
      <c r="BB73" s="2">
        <v>-0.69586865309396484</v>
      </c>
      <c r="BC73" s="2">
        <v>-56.776684440819281</v>
      </c>
      <c r="BD73" s="2">
        <v>2.2269903785127094</v>
      </c>
      <c r="BF73" s="2"/>
      <c r="BG73" s="2"/>
      <c r="BH73" s="2"/>
    </row>
    <row r="74" spans="1:60" x14ac:dyDescent="0.2">
      <c r="A74" s="2" t="s">
        <v>196</v>
      </c>
      <c r="B74" s="2"/>
      <c r="C74" s="2"/>
      <c r="E74" s="2">
        <v>25900</v>
      </c>
      <c r="F74" s="2" t="s">
        <v>342</v>
      </c>
      <c r="G74" s="2">
        <v>1.3</v>
      </c>
      <c r="H74" s="2">
        <v>-0.90000000000000013</v>
      </c>
      <c r="I74" s="2">
        <v>150</v>
      </c>
      <c r="J74" s="8">
        <v>45929.569027777776</v>
      </c>
      <c r="K74" s="2">
        <v>10457400</v>
      </c>
      <c r="L74" s="2">
        <v>1490025</v>
      </c>
      <c r="M74" s="2">
        <v>1.37</v>
      </c>
      <c r="N74" s="2">
        <v>1.8</v>
      </c>
      <c r="O74" s="2">
        <v>1.8</v>
      </c>
      <c r="P74" s="2">
        <v>1.05</v>
      </c>
      <c r="Q74" s="2">
        <v>1.3</v>
      </c>
      <c r="R74" s="2">
        <v>1.35</v>
      </c>
      <c r="S74" s="2">
        <v>2.2000000000000002</v>
      </c>
      <c r="T74" s="2">
        <v>13084350</v>
      </c>
      <c r="U74" s="2">
        <v>38408</v>
      </c>
      <c r="V74" s="2">
        <v>-7107</v>
      </c>
      <c r="W74" s="2">
        <v>-1183.75</v>
      </c>
      <c r="X74" s="2">
        <v>1185.05</v>
      </c>
      <c r="Y74" s="2">
        <v>0.35553642801490765</v>
      </c>
      <c r="Z74" s="2">
        <v>8.2505027894331246E-3</v>
      </c>
      <c r="AA74" s="2">
        <v>4.7186116528140664E-5</v>
      </c>
      <c r="AB74" s="2">
        <v>5.9775290037723415E-3</v>
      </c>
      <c r="AC74" s="2">
        <v>-5.0469399701545496</v>
      </c>
      <c r="AD74" s="2">
        <v>0.30234283968928172</v>
      </c>
      <c r="AE74" s="2">
        <v>25900</v>
      </c>
      <c r="AF74" s="2" t="s">
        <v>343</v>
      </c>
      <c r="AG74" s="2">
        <v>1150</v>
      </c>
      <c r="AH74" s="2">
        <v>-67</v>
      </c>
      <c r="AI74" s="2">
        <v>75</v>
      </c>
      <c r="AJ74" s="8">
        <v>45929.563240740739</v>
      </c>
      <c r="AK74" s="2">
        <v>12225</v>
      </c>
      <c r="AL74" s="2">
        <v>10950</v>
      </c>
      <c r="AM74" s="2">
        <v>1133.3</v>
      </c>
      <c r="AN74" s="2">
        <v>1160</v>
      </c>
      <c r="AO74" s="2">
        <v>1220.6500000000001</v>
      </c>
      <c r="AP74" s="2">
        <v>1090</v>
      </c>
      <c r="AQ74" s="2">
        <v>1149.45</v>
      </c>
      <c r="AR74" s="2">
        <v>1153.05</v>
      </c>
      <c r="AS74" s="2">
        <v>1217</v>
      </c>
      <c r="AT74" s="2">
        <v>7350</v>
      </c>
      <c r="AU74" s="2">
        <v>356</v>
      </c>
      <c r="AV74" s="2">
        <v>-16</v>
      </c>
      <c r="AW74" s="2">
        <v>1183.75</v>
      </c>
      <c r="AX74" s="2">
        <v>-33.75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F74" s="2"/>
      <c r="BG74" s="2"/>
      <c r="BH74" s="2"/>
    </row>
    <row r="75" spans="1:60" x14ac:dyDescent="0.2">
      <c r="A75" s="2" t="s">
        <v>197</v>
      </c>
      <c r="B75" s="2"/>
      <c r="C75" s="2"/>
      <c r="E75" s="2">
        <v>25950</v>
      </c>
      <c r="F75" s="2" t="s">
        <v>342</v>
      </c>
      <c r="G75" s="2">
        <v>1.3</v>
      </c>
      <c r="H75" s="2">
        <v>-0.8</v>
      </c>
      <c r="I75" s="2">
        <v>150</v>
      </c>
      <c r="J75" s="8">
        <v>45929.569004629629</v>
      </c>
      <c r="K75" s="2">
        <v>6624000</v>
      </c>
      <c r="L75" s="2">
        <v>832350</v>
      </c>
      <c r="M75" s="2">
        <v>1.35</v>
      </c>
      <c r="N75" s="2">
        <v>1.85</v>
      </c>
      <c r="O75" s="2">
        <v>1.85</v>
      </c>
      <c r="P75" s="2">
        <v>1</v>
      </c>
      <c r="Q75" s="2">
        <v>1.25</v>
      </c>
      <c r="R75" s="2">
        <v>1.3</v>
      </c>
      <c r="S75" s="2">
        <v>2.1</v>
      </c>
      <c r="T75" s="2">
        <v>6512250</v>
      </c>
      <c r="U75" s="2">
        <v>10623</v>
      </c>
      <c r="V75" s="2">
        <v>-3810</v>
      </c>
      <c r="W75" s="2">
        <v>-1233.75</v>
      </c>
      <c r="X75" s="2">
        <v>1235.05</v>
      </c>
      <c r="Y75" s="2">
        <v>0.36843500903482013</v>
      </c>
      <c r="Z75" s="2">
        <v>7.9895807896693486E-3</v>
      </c>
      <c r="AA75" s="2">
        <v>4.4266263123714453E-5</v>
      </c>
      <c r="AB75" s="2">
        <v>5.7872746552586575E-3</v>
      </c>
      <c r="AC75" s="2">
        <v>-5.0822283590288908</v>
      </c>
      <c r="AD75" s="2">
        <v>0.29392391944237506</v>
      </c>
      <c r="AE75" s="2">
        <v>25950</v>
      </c>
      <c r="AF75" s="2" t="s">
        <v>343</v>
      </c>
      <c r="AG75" s="2">
        <v>1144.9000000000001</v>
      </c>
      <c r="AH75" s="2">
        <v>-130.09999999999991</v>
      </c>
      <c r="AI75" s="2">
        <v>75</v>
      </c>
      <c r="AJ75" s="8">
        <v>45929.443969907406</v>
      </c>
      <c r="AK75" s="2">
        <v>11925</v>
      </c>
      <c r="AL75" s="2">
        <v>13800</v>
      </c>
      <c r="AM75" s="2">
        <v>1174.45</v>
      </c>
      <c r="AN75" s="2">
        <v>1182.2</v>
      </c>
      <c r="AO75" s="2">
        <v>1187.5</v>
      </c>
      <c r="AP75" s="2">
        <v>1128.3</v>
      </c>
      <c r="AQ75" s="2">
        <v>1196.9000000000001</v>
      </c>
      <c r="AR75" s="2">
        <v>1213.0999999999999</v>
      </c>
      <c r="AS75" s="2">
        <v>1275</v>
      </c>
      <c r="AT75" s="2">
        <v>1725</v>
      </c>
      <c r="AU75" s="2">
        <v>191</v>
      </c>
      <c r="AV75" s="2">
        <v>-8</v>
      </c>
      <c r="AW75" s="2">
        <v>1233.75</v>
      </c>
      <c r="AX75" s="2">
        <v>-88.849999999999909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F75" s="2"/>
      <c r="BG75" s="2"/>
      <c r="BH75" s="2"/>
    </row>
    <row r="76" spans="1:60" x14ac:dyDescent="0.2">
      <c r="A76" s="2" t="s">
        <v>198</v>
      </c>
      <c r="B76" s="2"/>
      <c r="C76" s="2"/>
      <c r="E76" s="2">
        <v>26000</v>
      </c>
      <c r="F76" s="2" t="s">
        <v>342</v>
      </c>
      <c r="G76" s="2">
        <v>1.2</v>
      </c>
      <c r="H76" s="2">
        <v>-0.84999999999999987</v>
      </c>
      <c r="I76" s="2">
        <v>375</v>
      </c>
      <c r="J76" s="8">
        <v>45929.569027777776</v>
      </c>
      <c r="K76" s="2">
        <v>26442675</v>
      </c>
      <c r="L76" s="2">
        <v>1869825</v>
      </c>
      <c r="M76" s="2">
        <v>1.19</v>
      </c>
      <c r="N76" s="2">
        <v>1.8</v>
      </c>
      <c r="O76" s="2">
        <v>1.8</v>
      </c>
      <c r="P76" s="2">
        <v>0.95</v>
      </c>
      <c r="Q76" s="2">
        <v>1.2</v>
      </c>
      <c r="R76" s="2">
        <v>1.25</v>
      </c>
      <c r="S76" s="2">
        <v>2.0499999999999998</v>
      </c>
      <c r="T76" s="2">
        <v>55742025</v>
      </c>
      <c r="U76" s="2">
        <v>191230</v>
      </c>
      <c r="V76" s="2">
        <v>-40951</v>
      </c>
      <c r="W76" s="2">
        <v>-1283.75</v>
      </c>
      <c r="X76" s="2">
        <v>1284.95</v>
      </c>
      <c r="Y76" s="2">
        <v>0.3776619620330236</v>
      </c>
      <c r="Z76" s="2">
        <v>7.2653076163598082E-3</v>
      </c>
      <c r="AA76" s="2">
        <v>3.9718507565444916E-5</v>
      </c>
      <c r="AB76" s="2">
        <v>5.2621206319864965E-3</v>
      </c>
      <c r="AC76" s="2">
        <v>-4.7895604805010912</v>
      </c>
      <c r="AD76" s="2">
        <v>0.27033202020594155</v>
      </c>
      <c r="AE76" s="2">
        <v>26000</v>
      </c>
      <c r="AF76" s="2" t="s">
        <v>343</v>
      </c>
      <c r="AG76" s="2">
        <v>1250</v>
      </c>
      <c r="AH76" s="2">
        <v>-62.75</v>
      </c>
      <c r="AI76" s="2">
        <v>75</v>
      </c>
      <c r="AJ76" s="8">
        <v>45929.568958333337</v>
      </c>
      <c r="AK76" s="2">
        <v>35325</v>
      </c>
      <c r="AL76" s="2">
        <v>21225</v>
      </c>
      <c r="AM76" s="2">
        <v>1239.02</v>
      </c>
      <c r="AN76" s="2">
        <v>1240</v>
      </c>
      <c r="AO76" s="2">
        <v>1355</v>
      </c>
      <c r="AP76" s="2">
        <v>1155.6500000000001</v>
      </c>
      <c r="AQ76" s="2">
        <v>1249.8499999999999</v>
      </c>
      <c r="AR76" s="2">
        <v>1251.7</v>
      </c>
      <c r="AS76" s="2">
        <v>1312.75</v>
      </c>
      <c r="AT76" s="2">
        <v>558450</v>
      </c>
      <c r="AU76" s="2">
        <v>15401</v>
      </c>
      <c r="AV76" s="2">
        <v>-861</v>
      </c>
      <c r="AW76" s="2">
        <v>1283.75</v>
      </c>
      <c r="AX76" s="2">
        <v>-33.75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F76" s="2"/>
      <c r="BG76" s="2"/>
      <c r="BH76" s="2"/>
    </row>
    <row r="77" spans="1:60" x14ac:dyDescent="0.2">
      <c r="A77" s="2" t="s">
        <v>199</v>
      </c>
      <c r="B77" s="2"/>
      <c r="C77" s="2"/>
      <c r="E77" s="2">
        <v>26050</v>
      </c>
      <c r="F77" s="2" t="s">
        <v>342</v>
      </c>
      <c r="G77" s="2">
        <v>1.1000000000000001</v>
      </c>
      <c r="H77" s="2">
        <v>-0.75</v>
      </c>
      <c r="I77" s="2">
        <v>675</v>
      </c>
      <c r="J77" s="8">
        <v>45929.569016203706</v>
      </c>
      <c r="K77" s="2">
        <v>7698525</v>
      </c>
      <c r="L77" s="2">
        <v>931350</v>
      </c>
      <c r="M77" s="2">
        <v>1.18</v>
      </c>
      <c r="N77" s="2">
        <v>1.7</v>
      </c>
      <c r="O77" s="2">
        <v>1.75</v>
      </c>
      <c r="P77" s="2">
        <v>0.9</v>
      </c>
      <c r="Q77" s="2">
        <v>1.1000000000000001</v>
      </c>
      <c r="R77" s="2">
        <v>1.2</v>
      </c>
      <c r="S77" s="2">
        <v>1.85</v>
      </c>
      <c r="T77" s="2">
        <v>6594825</v>
      </c>
      <c r="U77" s="2">
        <v>22664</v>
      </c>
      <c r="V77" s="2">
        <v>-847</v>
      </c>
      <c r="W77" s="2">
        <v>-1333.75</v>
      </c>
      <c r="X77" s="2">
        <v>1334.85</v>
      </c>
      <c r="Y77" s="2">
        <v>0.386399330052212</v>
      </c>
      <c r="Z77" s="2">
        <v>6.5749464226818651E-3</v>
      </c>
      <c r="AA77" s="2">
        <v>3.5544403806711529E-5</v>
      </c>
      <c r="AB77" s="2">
        <v>4.7616901654679526E-3</v>
      </c>
      <c r="AC77" s="2">
        <v>-4.4852775055834027</v>
      </c>
      <c r="AD77" s="2">
        <v>0.24751913697432495</v>
      </c>
      <c r="AE77" s="2">
        <v>26050</v>
      </c>
      <c r="AF77" s="2" t="s">
        <v>343</v>
      </c>
      <c r="AG77" s="2">
        <v>1054.2</v>
      </c>
      <c r="AH77" s="2">
        <v>0</v>
      </c>
      <c r="AI77" s="2">
        <v>75</v>
      </c>
      <c r="AJ77" s="8">
        <v>45925.608356481483</v>
      </c>
      <c r="AK77" s="2">
        <v>10200</v>
      </c>
      <c r="AL77" s="2">
        <v>13050</v>
      </c>
      <c r="AM77" s="2">
        <v>0</v>
      </c>
      <c r="AN77" s="2">
        <v>0</v>
      </c>
      <c r="AO77" s="2">
        <v>0</v>
      </c>
      <c r="AP77" s="2">
        <v>0</v>
      </c>
      <c r="AQ77" s="2">
        <v>1294.45</v>
      </c>
      <c r="AR77" s="2">
        <v>1318.55</v>
      </c>
      <c r="AS77" s="2">
        <v>1054.2</v>
      </c>
      <c r="AT77" s="2">
        <v>0</v>
      </c>
      <c r="AU77" s="2">
        <v>9</v>
      </c>
      <c r="AV77" s="2">
        <v>0</v>
      </c>
      <c r="AW77" s="2">
        <v>1333.75</v>
      </c>
      <c r="AX77" s="2">
        <v>-279.54999999999995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F77" s="2"/>
      <c r="BG77" s="2"/>
      <c r="BH77" s="2"/>
    </row>
    <row r="78" spans="1:60" x14ac:dyDescent="0.2">
      <c r="A78" s="2" t="s">
        <v>200</v>
      </c>
      <c r="B78" s="2"/>
      <c r="C78" s="2"/>
      <c r="E78" s="2">
        <v>26100</v>
      </c>
      <c r="F78" s="2" t="s">
        <v>342</v>
      </c>
      <c r="G78" s="2">
        <v>1.1000000000000001</v>
      </c>
      <c r="H78" s="2">
        <v>-0.7</v>
      </c>
      <c r="I78" s="2">
        <v>300</v>
      </c>
      <c r="J78" s="8">
        <v>45929.569004629629</v>
      </c>
      <c r="K78" s="2">
        <v>10101600</v>
      </c>
      <c r="L78" s="2">
        <v>1312650</v>
      </c>
      <c r="M78" s="2">
        <v>1.1100000000000001</v>
      </c>
      <c r="N78" s="2">
        <v>1.45</v>
      </c>
      <c r="O78" s="2">
        <v>1.45</v>
      </c>
      <c r="P78" s="2">
        <v>0.85</v>
      </c>
      <c r="Q78" s="2">
        <v>1.05</v>
      </c>
      <c r="R78" s="2">
        <v>1.1000000000000001</v>
      </c>
      <c r="S78" s="2">
        <v>1.8</v>
      </c>
      <c r="T78" s="2">
        <v>10518600</v>
      </c>
      <c r="U78" s="2">
        <v>44954</v>
      </c>
      <c r="V78" s="2">
        <v>-11396</v>
      </c>
      <c r="W78" s="2">
        <v>-1383.75</v>
      </c>
      <c r="X78" s="2">
        <v>1384.85</v>
      </c>
      <c r="Y78" s="2">
        <v>0.39888153722987951</v>
      </c>
      <c r="Z78" s="2">
        <v>6.3884557975271913E-3</v>
      </c>
      <c r="AA78" s="2">
        <v>3.3566739114405764E-5</v>
      </c>
      <c r="AB78" s="2">
        <v>4.6257112123862694E-3</v>
      </c>
      <c r="AC78" s="2">
        <v>-4.5122566262893899</v>
      </c>
      <c r="AD78" s="2">
        <v>0.24129836898576204</v>
      </c>
      <c r="AE78" s="2">
        <v>26100</v>
      </c>
      <c r="AF78" s="2" t="s">
        <v>343</v>
      </c>
      <c r="AG78" s="2">
        <v>1440</v>
      </c>
      <c r="AH78" s="2">
        <v>16.650000000000091</v>
      </c>
      <c r="AI78" s="2">
        <v>75</v>
      </c>
      <c r="AJ78" s="8">
        <v>45929.535810185182</v>
      </c>
      <c r="AK78" s="2">
        <v>11700</v>
      </c>
      <c r="AL78" s="2">
        <v>11025</v>
      </c>
      <c r="AM78" s="2">
        <v>1307.1600000000001</v>
      </c>
      <c r="AN78" s="2">
        <v>1370.05</v>
      </c>
      <c r="AO78" s="2">
        <v>1440</v>
      </c>
      <c r="AP78" s="2">
        <v>1273.75</v>
      </c>
      <c r="AQ78" s="2">
        <v>1347.35</v>
      </c>
      <c r="AR78" s="2">
        <v>1354.05</v>
      </c>
      <c r="AS78" s="2">
        <v>1423.35</v>
      </c>
      <c r="AT78" s="2">
        <v>50250</v>
      </c>
      <c r="AU78" s="2">
        <v>542</v>
      </c>
      <c r="AV78" s="2">
        <v>-603</v>
      </c>
      <c r="AW78" s="2">
        <v>1383.75</v>
      </c>
      <c r="AX78" s="2">
        <v>56.25</v>
      </c>
      <c r="AY78" s="2">
        <v>0.82988858479607819</v>
      </c>
      <c r="AZ78" s="2">
        <v>-0.88088837601868575</v>
      </c>
      <c r="BA78" s="2">
        <v>1.7861626200004282E-4</v>
      </c>
      <c r="BB78" s="2">
        <v>-0.68478393723583619</v>
      </c>
      <c r="BC78" s="2">
        <v>-96.584913008842975</v>
      </c>
      <c r="BD78" s="2">
        <v>2.6714197616503004</v>
      </c>
      <c r="BF78" s="2"/>
      <c r="BG78" s="2"/>
      <c r="BH78" s="2"/>
    </row>
    <row r="79" spans="1:60" x14ac:dyDescent="0.2">
      <c r="A79" s="2" t="s">
        <v>201</v>
      </c>
      <c r="B79" s="2"/>
      <c r="C79" s="2"/>
      <c r="E79" s="2">
        <v>26150</v>
      </c>
      <c r="F79" s="2" t="s">
        <v>342</v>
      </c>
      <c r="G79" s="2">
        <v>1.05</v>
      </c>
      <c r="H79" s="2">
        <v>-0.75</v>
      </c>
      <c r="I79" s="2">
        <v>450</v>
      </c>
      <c r="J79" s="8">
        <v>45929.569027777776</v>
      </c>
      <c r="K79" s="2">
        <v>6582825</v>
      </c>
      <c r="L79" s="2">
        <v>846975</v>
      </c>
      <c r="M79" s="2">
        <v>1.1000000000000001</v>
      </c>
      <c r="N79" s="2">
        <v>1.5</v>
      </c>
      <c r="O79" s="2">
        <v>1.5</v>
      </c>
      <c r="P79" s="2">
        <v>0.85</v>
      </c>
      <c r="Q79" s="2">
        <v>1.05</v>
      </c>
      <c r="R79" s="2">
        <v>1.1000000000000001</v>
      </c>
      <c r="S79" s="2">
        <v>1.8</v>
      </c>
      <c r="T79" s="2">
        <v>3891825</v>
      </c>
      <c r="U79" s="2">
        <v>21423</v>
      </c>
      <c r="V79" s="2">
        <v>402</v>
      </c>
      <c r="W79" s="2">
        <v>-1433.75</v>
      </c>
      <c r="X79" s="2">
        <v>1434.8</v>
      </c>
      <c r="Y79" s="2">
        <v>0.40913785232521843</v>
      </c>
      <c r="Z79" s="2">
        <v>5.9840378931813563E-3</v>
      </c>
      <c r="AA79" s="2">
        <v>3.0883486779758343E-5</v>
      </c>
      <c r="AB79" s="2">
        <v>4.3323033033153078E-3</v>
      </c>
      <c r="AC79" s="2">
        <v>-4.3664471860693519</v>
      </c>
      <c r="AD79" s="2">
        <v>0.22771794017628211</v>
      </c>
      <c r="AE79" s="2">
        <v>26150</v>
      </c>
      <c r="AF79" s="2" t="s">
        <v>343</v>
      </c>
      <c r="AG79" s="2">
        <v>1494.2</v>
      </c>
      <c r="AH79" s="2">
        <v>372.15000000000009</v>
      </c>
      <c r="AI79" s="2">
        <v>75</v>
      </c>
      <c r="AJ79" s="8">
        <v>45929.538263888891</v>
      </c>
      <c r="AK79" s="2">
        <v>11250</v>
      </c>
      <c r="AL79" s="2">
        <v>13725</v>
      </c>
      <c r="AM79" s="2">
        <v>1465.21</v>
      </c>
      <c r="AN79" s="2">
        <v>1446.9</v>
      </c>
      <c r="AO79" s="2">
        <v>1494.2</v>
      </c>
      <c r="AP79" s="2">
        <v>1430.2</v>
      </c>
      <c r="AQ79" s="2">
        <v>1395.95</v>
      </c>
      <c r="AR79" s="2">
        <v>1405.95</v>
      </c>
      <c r="AS79" s="2">
        <v>1122.05</v>
      </c>
      <c r="AT79" s="2">
        <v>900</v>
      </c>
      <c r="AU79" s="2">
        <v>34</v>
      </c>
      <c r="AV79" s="2">
        <v>-2</v>
      </c>
      <c r="AW79" s="2">
        <v>1433.75</v>
      </c>
      <c r="AX79" s="2">
        <v>60.450000000000045</v>
      </c>
      <c r="AY79" s="2">
        <v>0.86624305273543944</v>
      </c>
      <c r="AZ79" s="2">
        <v>-0.87873477676254086</v>
      </c>
      <c r="BA79" s="2">
        <v>1.7329436716966387E-4</v>
      </c>
      <c r="BB79" s="2">
        <v>-0.68481251896481821</v>
      </c>
      <c r="BC79" s="2">
        <v>-102.45959817690347</v>
      </c>
      <c r="BD79" s="2">
        <v>2.7053628112154997</v>
      </c>
      <c r="BF79" s="2"/>
      <c r="BG79" s="2"/>
      <c r="BH79" s="2"/>
    </row>
    <row r="80" spans="1:60" x14ac:dyDescent="0.2">
      <c r="A80" s="2" t="s">
        <v>202</v>
      </c>
      <c r="B80" s="2"/>
      <c r="C80" s="2"/>
      <c r="E80" s="2">
        <v>26200</v>
      </c>
      <c r="F80" s="2" t="s">
        <v>342</v>
      </c>
      <c r="G80" s="2">
        <v>1</v>
      </c>
      <c r="H80" s="2">
        <v>-0.64999999999999991</v>
      </c>
      <c r="I80" s="2">
        <v>75</v>
      </c>
      <c r="J80" s="8">
        <v>45929.569027777776</v>
      </c>
      <c r="K80" s="2">
        <v>13083375</v>
      </c>
      <c r="L80" s="2">
        <v>1450200</v>
      </c>
      <c r="M80" s="2">
        <v>1</v>
      </c>
      <c r="N80" s="2">
        <v>1.05</v>
      </c>
      <c r="O80" s="2">
        <v>1.45</v>
      </c>
      <c r="P80" s="2">
        <v>0.75</v>
      </c>
      <c r="Q80" s="2">
        <v>0.95</v>
      </c>
      <c r="R80" s="2">
        <v>1</v>
      </c>
      <c r="S80" s="2">
        <v>1.65</v>
      </c>
      <c r="T80" s="2">
        <v>11863950</v>
      </c>
      <c r="U80" s="2">
        <v>44311</v>
      </c>
      <c r="V80" s="2">
        <v>-6835</v>
      </c>
      <c r="W80" s="2">
        <v>-1483.75</v>
      </c>
      <c r="X80" s="2">
        <v>1484.75</v>
      </c>
      <c r="Y80" s="2">
        <v>0.41914839940732423</v>
      </c>
      <c r="Z80" s="2">
        <v>5.5994009402230635E-3</v>
      </c>
      <c r="AA80" s="2">
        <v>2.8420122382276485E-5</v>
      </c>
      <c r="AB80" s="2">
        <v>4.053319977722041E-3</v>
      </c>
      <c r="AC80" s="2">
        <v>-4.2159836585502806</v>
      </c>
      <c r="AD80" s="2">
        <v>0.21468173815226355</v>
      </c>
      <c r="AE80" s="2">
        <v>26200</v>
      </c>
      <c r="AF80" s="2" t="s">
        <v>343</v>
      </c>
      <c r="AG80" s="2">
        <v>1457.3</v>
      </c>
      <c r="AH80" s="2">
        <v>-52.450000000000045</v>
      </c>
      <c r="AI80" s="2">
        <v>75</v>
      </c>
      <c r="AJ80" s="8">
        <v>45929.568680555552</v>
      </c>
      <c r="AK80" s="2">
        <v>11400</v>
      </c>
      <c r="AL80" s="2">
        <v>13200</v>
      </c>
      <c r="AM80" s="2">
        <v>1446.53</v>
      </c>
      <c r="AN80" s="2">
        <v>1470.05</v>
      </c>
      <c r="AO80" s="2">
        <v>1543.1</v>
      </c>
      <c r="AP80" s="2">
        <v>1361.25</v>
      </c>
      <c r="AQ80" s="2">
        <v>1444.95</v>
      </c>
      <c r="AR80" s="2">
        <v>1452</v>
      </c>
      <c r="AS80" s="2">
        <v>1509.75</v>
      </c>
      <c r="AT80" s="2">
        <v>37200</v>
      </c>
      <c r="AU80" s="2">
        <v>291</v>
      </c>
      <c r="AV80" s="2">
        <v>-349</v>
      </c>
      <c r="AW80" s="2">
        <v>1483.75</v>
      </c>
      <c r="AX80" s="2">
        <v>-26.450000000000045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F80" s="2"/>
      <c r="BG80" s="2"/>
      <c r="BH80" s="2"/>
    </row>
    <row r="81" spans="1:60" x14ac:dyDescent="0.2">
      <c r="A81" s="2" t="s">
        <v>203</v>
      </c>
      <c r="B81" s="2"/>
      <c r="C81" s="2"/>
      <c r="E81" s="2">
        <v>26250</v>
      </c>
      <c r="F81" s="2" t="s">
        <v>342</v>
      </c>
      <c r="G81" s="2">
        <v>1</v>
      </c>
      <c r="H81" s="2">
        <v>-0.60000000000000009</v>
      </c>
      <c r="I81" s="2">
        <v>225</v>
      </c>
      <c r="J81" s="8">
        <v>45929.569016203706</v>
      </c>
      <c r="K81" s="2">
        <v>6865275</v>
      </c>
      <c r="L81" s="2">
        <v>824400</v>
      </c>
      <c r="M81" s="2">
        <v>0.93</v>
      </c>
      <c r="N81" s="2">
        <v>1.5</v>
      </c>
      <c r="O81" s="2">
        <v>1.5</v>
      </c>
      <c r="P81" s="2">
        <v>0.7</v>
      </c>
      <c r="Q81" s="2">
        <v>0.95</v>
      </c>
      <c r="R81" s="2">
        <v>1</v>
      </c>
      <c r="S81" s="2">
        <v>1.6</v>
      </c>
      <c r="T81" s="2">
        <v>5956575</v>
      </c>
      <c r="U81" s="2">
        <v>17460</v>
      </c>
      <c r="V81" s="2">
        <v>-3375</v>
      </c>
      <c r="W81" s="2">
        <v>-1533.75</v>
      </c>
      <c r="X81" s="2">
        <v>1534.75</v>
      </c>
      <c r="Y81" s="2">
        <v>0.43133156296262531</v>
      </c>
      <c r="Z81" s="2">
        <v>5.455757142646951E-3</v>
      </c>
      <c r="AA81" s="2">
        <v>2.6987047332925659E-5</v>
      </c>
      <c r="AB81" s="2">
        <v>3.94858120461855E-3</v>
      </c>
      <c r="AC81" s="2">
        <v>-4.2383227581839744</v>
      </c>
      <c r="AD81" s="2">
        <v>0.20978184864009219</v>
      </c>
      <c r="AE81" s="2">
        <v>26250</v>
      </c>
      <c r="AF81" s="2" t="s">
        <v>343</v>
      </c>
      <c r="AG81" s="2">
        <v>1413.5</v>
      </c>
      <c r="AH81" s="2">
        <v>217.65000000000009</v>
      </c>
      <c r="AI81" s="2">
        <v>75</v>
      </c>
      <c r="AJ81" s="8">
        <v>45929.431296296294</v>
      </c>
      <c r="AK81" s="2">
        <v>9450</v>
      </c>
      <c r="AL81" s="2">
        <v>11100</v>
      </c>
      <c r="AM81" s="2">
        <v>1438.03</v>
      </c>
      <c r="AN81" s="2">
        <v>1450.3</v>
      </c>
      <c r="AO81" s="2">
        <v>1450.3</v>
      </c>
      <c r="AP81" s="2">
        <v>1413.5</v>
      </c>
      <c r="AQ81" s="2">
        <v>1492.7</v>
      </c>
      <c r="AR81" s="2">
        <v>1512.95</v>
      </c>
      <c r="AS81" s="2">
        <v>1195.8499999999999</v>
      </c>
      <c r="AT81" s="2">
        <v>225</v>
      </c>
      <c r="AU81" s="2">
        <v>44</v>
      </c>
      <c r="AV81" s="2">
        <v>0</v>
      </c>
      <c r="AW81" s="2">
        <v>1533.75</v>
      </c>
      <c r="AX81" s="2">
        <v>-120.25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F81" s="2"/>
      <c r="BG81" s="2"/>
      <c r="BH81" s="2"/>
    </row>
    <row r="82" spans="1:60" x14ac:dyDescent="0.2">
      <c r="A82" s="2" t="s">
        <v>204</v>
      </c>
      <c r="B82" s="2"/>
      <c r="C82" s="2"/>
      <c r="E82" s="2">
        <v>26300</v>
      </c>
      <c r="F82" s="2" t="s">
        <v>342</v>
      </c>
      <c r="G82" s="2">
        <v>0.9</v>
      </c>
      <c r="H82" s="2">
        <v>-0.54999999999999993</v>
      </c>
      <c r="I82" s="2">
        <v>300</v>
      </c>
      <c r="J82" s="8">
        <v>45929.568923611114</v>
      </c>
      <c r="K82" s="2">
        <v>16657350</v>
      </c>
      <c r="L82" s="2">
        <v>1405200</v>
      </c>
      <c r="M82" s="2">
        <v>0.86</v>
      </c>
      <c r="N82" s="2">
        <v>1</v>
      </c>
      <c r="O82" s="2">
        <v>1.2</v>
      </c>
      <c r="P82" s="2">
        <v>0.65</v>
      </c>
      <c r="Q82" s="2">
        <v>0.9</v>
      </c>
      <c r="R82" s="2">
        <v>0.95</v>
      </c>
      <c r="S82" s="2">
        <v>1.45</v>
      </c>
      <c r="T82" s="2">
        <v>16397175</v>
      </c>
      <c r="U82" s="2">
        <v>69767</v>
      </c>
      <c r="V82" s="2">
        <v>-889</v>
      </c>
      <c r="W82" s="2">
        <v>-1583.75</v>
      </c>
      <c r="X82" s="2">
        <v>1584.65</v>
      </c>
      <c r="Y82" s="2">
        <v>0.4383923232209761</v>
      </c>
      <c r="Z82" s="2">
        <v>4.8822472781787111E-3</v>
      </c>
      <c r="AA82" s="2">
        <v>2.4053340148369837E-5</v>
      </c>
      <c r="AB82" s="2">
        <v>3.5333550552475073E-3</v>
      </c>
      <c r="AC82" s="2">
        <v>-3.9013225821115065</v>
      </c>
      <c r="AD82" s="2">
        <v>0.19003765449399157</v>
      </c>
      <c r="AE82" s="2">
        <v>26300</v>
      </c>
      <c r="AF82" s="2" t="s">
        <v>343</v>
      </c>
      <c r="AG82" s="2">
        <v>1591.6</v>
      </c>
      <c r="AH82" s="2">
        <v>-16.400000000000091</v>
      </c>
      <c r="AI82" s="2">
        <v>75</v>
      </c>
      <c r="AJ82" s="8">
        <v>45929.550706018519</v>
      </c>
      <c r="AK82" s="2">
        <v>10650</v>
      </c>
      <c r="AL82" s="2">
        <v>9225</v>
      </c>
      <c r="AM82" s="2">
        <v>1495.79</v>
      </c>
      <c r="AN82" s="2">
        <v>1558</v>
      </c>
      <c r="AO82" s="2">
        <v>1607</v>
      </c>
      <c r="AP82" s="2">
        <v>1468</v>
      </c>
      <c r="AQ82" s="2">
        <v>1545.1</v>
      </c>
      <c r="AR82" s="2">
        <v>1552.35</v>
      </c>
      <c r="AS82" s="2">
        <v>1608</v>
      </c>
      <c r="AT82" s="2">
        <v>5025</v>
      </c>
      <c r="AU82" s="2">
        <v>137</v>
      </c>
      <c r="AV82" s="2">
        <v>-43</v>
      </c>
      <c r="AW82" s="2">
        <v>1583.75</v>
      </c>
      <c r="AX82" s="2">
        <v>7.8499999999999091</v>
      </c>
      <c r="AY82" s="2">
        <v>0.65889943930799977</v>
      </c>
      <c r="AZ82" s="2">
        <v>-0.95630287544006942</v>
      </c>
      <c r="BA82" s="2">
        <v>1.0465143619352025E-4</v>
      </c>
      <c r="BB82" s="2">
        <v>-0.74424490325372172</v>
      </c>
      <c r="BC82" s="2">
        <v>-31.109463657009055</v>
      </c>
      <c r="BD82" s="2">
        <v>1.2426980555163964</v>
      </c>
      <c r="BF82" s="2"/>
      <c r="BG82" s="2"/>
      <c r="BH82" s="2"/>
    </row>
    <row r="83" spans="1:60" x14ac:dyDescent="0.2">
      <c r="A83" s="2" t="s">
        <v>205</v>
      </c>
      <c r="B83" s="2"/>
      <c r="C83" s="2"/>
      <c r="E83" s="2">
        <v>26350</v>
      </c>
      <c r="F83" s="2" t="s">
        <v>342</v>
      </c>
      <c r="G83" s="2">
        <v>0.9</v>
      </c>
      <c r="H83" s="2">
        <v>-0.49999999999999989</v>
      </c>
      <c r="I83" s="2">
        <v>300</v>
      </c>
      <c r="J83" s="8">
        <v>45929.568888888891</v>
      </c>
      <c r="K83" s="2">
        <v>8372175</v>
      </c>
      <c r="L83" s="2">
        <v>1109850</v>
      </c>
      <c r="M83" s="2">
        <v>0.84</v>
      </c>
      <c r="N83" s="2">
        <v>1.05</v>
      </c>
      <c r="O83" s="2">
        <v>1.2</v>
      </c>
      <c r="P83" s="2">
        <v>0.65</v>
      </c>
      <c r="Q83" s="2">
        <v>0.9</v>
      </c>
      <c r="R83" s="2">
        <v>0.95</v>
      </c>
      <c r="S83" s="2">
        <v>1.4</v>
      </c>
      <c r="T83" s="2">
        <v>5869425</v>
      </c>
      <c r="U83" s="2">
        <v>31524</v>
      </c>
      <c r="V83" s="2">
        <v>116</v>
      </c>
      <c r="W83" s="2">
        <v>-1633.75</v>
      </c>
      <c r="X83" s="2">
        <v>1634.65</v>
      </c>
      <c r="Y83" s="2">
        <v>0.45034581485182407</v>
      </c>
      <c r="Z83" s="2">
        <v>4.7643375990009508E-3</v>
      </c>
      <c r="AA83" s="2">
        <v>2.2910107337781942E-5</v>
      </c>
      <c r="AB83" s="2">
        <v>3.4473803302362449E-3</v>
      </c>
      <c r="AC83" s="2">
        <v>-3.9203326808321051</v>
      </c>
      <c r="AD83" s="2">
        <v>0.18594072444527007</v>
      </c>
      <c r="AE83" s="2">
        <v>26350</v>
      </c>
      <c r="AF83" s="2" t="s">
        <v>343</v>
      </c>
      <c r="AG83" s="2">
        <v>1304.1500000000001</v>
      </c>
      <c r="AH83" s="2">
        <v>0</v>
      </c>
      <c r="AI83" s="2">
        <v>225</v>
      </c>
      <c r="AJ83" s="8">
        <v>45925.545844907407</v>
      </c>
      <c r="AK83" s="2">
        <v>9150</v>
      </c>
      <c r="AL83" s="2">
        <v>9450</v>
      </c>
      <c r="AM83" s="2">
        <v>0</v>
      </c>
      <c r="AN83" s="2">
        <v>0</v>
      </c>
      <c r="AO83" s="2">
        <v>0</v>
      </c>
      <c r="AP83" s="2">
        <v>0</v>
      </c>
      <c r="AQ83" s="2">
        <v>1578.4</v>
      </c>
      <c r="AR83" s="2">
        <v>1618.8</v>
      </c>
      <c r="AS83" s="2">
        <v>1304.1500000000001</v>
      </c>
      <c r="AT83" s="2">
        <v>0</v>
      </c>
      <c r="AU83" s="2">
        <v>18</v>
      </c>
      <c r="AV83" s="2">
        <v>0</v>
      </c>
      <c r="AW83" s="2">
        <v>1633.75</v>
      </c>
      <c r="AX83" s="2">
        <v>-329.59999999999991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F83" s="2"/>
      <c r="BG83" s="2"/>
      <c r="BH83" s="2"/>
    </row>
    <row r="84" spans="1:60" x14ac:dyDescent="0.2">
      <c r="A84" s="2" t="s">
        <v>206</v>
      </c>
      <c r="B84" s="2"/>
      <c r="C84" s="2"/>
      <c r="E84" s="2">
        <v>26400</v>
      </c>
      <c r="F84" s="2" t="s">
        <v>342</v>
      </c>
      <c r="G84" s="2">
        <v>0.95</v>
      </c>
      <c r="H84" s="2">
        <v>-0.44999999999999996</v>
      </c>
      <c r="I84" s="2">
        <v>1050</v>
      </c>
      <c r="J84" s="8">
        <v>45929.569039351853</v>
      </c>
      <c r="K84" s="2">
        <v>12062925</v>
      </c>
      <c r="L84" s="2">
        <v>977700</v>
      </c>
      <c r="M84" s="2">
        <v>0.84</v>
      </c>
      <c r="N84" s="2">
        <v>1.1000000000000001</v>
      </c>
      <c r="O84" s="2">
        <v>1.3</v>
      </c>
      <c r="P84" s="2">
        <v>0.65</v>
      </c>
      <c r="Q84" s="2">
        <v>0.9</v>
      </c>
      <c r="R84" s="2">
        <v>0.95</v>
      </c>
      <c r="S84" s="2">
        <v>1.4</v>
      </c>
      <c r="T84" s="2">
        <v>7086900</v>
      </c>
      <c r="U84" s="2">
        <v>36564</v>
      </c>
      <c r="V84" s="2">
        <v>-1334</v>
      </c>
      <c r="W84" s="2">
        <v>-1683.75</v>
      </c>
      <c r="X84" s="2">
        <v>1684.7</v>
      </c>
      <c r="Y84" s="2">
        <v>0.46493594191913423</v>
      </c>
      <c r="Z84" s="2">
        <v>4.8630831797166537E-3</v>
      </c>
      <c r="AA84" s="2">
        <v>2.2600754996994977E-5</v>
      </c>
      <c r="AB84" s="2">
        <v>3.5179052704118487E-3</v>
      </c>
      <c r="AC84" s="2">
        <v>-4.1210526460791943</v>
      </c>
      <c r="AD84" s="2">
        <v>0.18937264768786957</v>
      </c>
      <c r="AE84" s="2">
        <v>26400</v>
      </c>
      <c r="AF84" s="2" t="s">
        <v>343</v>
      </c>
      <c r="AG84" s="2">
        <v>1707</v>
      </c>
      <c r="AH84" s="2">
        <v>-4.5</v>
      </c>
      <c r="AI84" s="2">
        <v>75</v>
      </c>
      <c r="AJ84" s="8">
        <v>45929.516875000001</v>
      </c>
      <c r="AK84" s="2">
        <v>11100</v>
      </c>
      <c r="AL84" s="2">
        <v>12075</v>
      </c>
      <c r="AM84" s="2">
        <v>1624.85</v>
      </c>
      <c r="AN84" s="2">
        <v>1661</v>
      </c>
      <c r="AO84" s="2">
        <v>1708</v>
      </c>
      <c r="AP84" s="2">
        <v>1572.85</v>
      </c>
      <c r="AQ84" s="2">
        <v>1645.05</v>
      </c>
      <c r="AR84" s="2">
        <v>1654.9</v>
      </c>
      <c r="AS84" s="2">
        <v>1711.5</v>
      </c>
      <c r="AT84" s="2">
        <v>1275</v>
      </c>
      <c r="AU84" s="2">
        <v>56</v>
      </c>
      <c r="AV84" s="2">
        <v>-3</v>
      </c>
      <c r="AW84" s="2">
        <v>1683.75</v>
      </c>
      <c r="AX84" s="2">
        <v>23.25</v>
      </c>
      <c r="AY84" s="2">
        <v>0.79571147377781837</v>
      </c>
      <c r="AZ84" s="2">
        <v>-0.93272946821853275</v>
      </c>
      <c r="BA84" s="2">
        <v>1.2189727886884847E-4</v>
      </c>
      <c r="BB84" s="2">
        <v>-0.7304605154131617</v>
      </c>
      <c r="BC84" s="2">
        <v>-57.803643456152351</v>
      </c>
      <c r="BD84" s="2">
        <v>1.7480377793464379</v>
      </c>
      <c r="BF84" s="2"/>
      <c r="BG84" s="2"/>
      <c r="BH84" s="2"/>
    </row>
    <row r="85" spans="1:60" x14ac:dyDescent="0.2">
      <c r="A85" s="2" t="s">
        <v>207</v>
      </c>
      <c r="B85" s="2"/>
      <c r="C85" s="2"/>
      <c r="E85" s="2">
        <v>26450</v>
      </c>
      <c r="F85" s="2" t="s">
        <v>342</v>
      </c>
      <c r="G85" s="2">
        <v>0.9</v>
      </c>
      <c r="H85" s="2">
        <v>-0.45000000000000007</v>
      </c>
      <c r="I85" s="2">
        <v>300</v>
      </c>
      <c r="J85" s="8">
        <v>45929.564270833333</v>
      </c>
      <c r="K85" s="2">
        <v>5930850</v>
      </c>
      <c r="L85" s="2">
        <v>525150</v>
      </c>
      <c r="M85" s="2">
        <v>0.82</v>
      </c>
      <c r="N85" s="2">
        <v>1.1000000000000001</v>
      </c>
      <c r="O85" s="2">
        <v>1.3</v>
      </c>
      <c r="P85" s="2">
        <v>0.6</v>
      </c>
      <c r="Q85" s="2">
        <v>0.9</v>
      </c>
      <c r="R85" s="2">
        <v>0.95</v>
      </c>
      <c r="S85" s="2">
        <v>1.35</v>
      </c>
      <c r="T85" s="2">
        <v>2353200</v>
      </c>
      <c r="U85" s="2">
        <v>8723</v>
      </c>
      <c r="V85" s="2">
        <v>-1522</v>
      </c>
      <c r="W85" s="2">
        <v>-1733.75</v>
      </c>
      <c r="X85" s="2">
        <v>1734.65</v>
      </c>
      <c r="Y85" s="2">
        <v>0.47408632951325408</v>
      </c>
      <c r="Z85" s="2">
        <v>4.5469559473298353E-3</v>
      </c>
      <c r="AA85" s="2">
        <v>2.087465011701679E-5</v>
      </c>
      <c r="AB85" s="2">
        <v>3.2888765141923003E-3</v>
      </c>
      <c r="AC85" s="2">
        <v>-3.956779186480134</v>
      </c>
      <c r="AD85" s="2">
        <v>0.17835200253869038</v>
      </c>
      <c r="AE85" s="2">
        <v>26450</v>
      </c>
      <c r="AF85" s="2" t="s">
        <v>343</v>
      </c>
      <c r="AG85" s="2">
        <v>1631.3</v>
      </c>
      <c r="AH85" s="2">
        <v>-137.5</v>
      </c>
      <c r="AI85" s="2">
        <v>150</v>
      </c>
      <c r="AJ85" s="8">
        <v>45929.429490740738</v>
      </c>
      <c r="AK85" s="2">
        <v>10950</v>
      </c>
      <c r="AL85" s="2">
        <v>11700</v>
      </c>
      <c r="AM85" s="2">
        <v>1631.3</v>
      </c>
      <c r="AN85" s="2">
        <v>1631.3</v>
      </c>
      <c r="AO85" s="2">
        <v>1631.3</v>
      </c>
      <c r="AP85" s="2">
        <v>1631.3</v>
      </c>
      <c r="AQ85" s="2">
        <v>1695.05</v>
      </c>
      <c r="AR85" s="2">
        <v>1712.15</v>
      </c>
      <c r="AS85" s="2">
        <v>1768.8</v>
      </c>
      <c r="AT85" s="2">
        <v>150</v>
      </c>
      <c r="AU85" s="2">
        <v>29</v>
      </c>
      <c r="AV85" s="2">
        <v>0</v>
      </c>
      <c r="AW85" s="2">
        <v>1733.75</v>
      </c>
      <c r="AX85" s="2">
        <v>-102.45000000000005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F85" s="2"/>
      <c r="BG85" s="2"/>
      <c r="BH85" s="2"/>
    </row>
    <row r="86" spans="1:60" x14ac:dyDescent="0.2">
      <c r="A86" s="2" t="s">
        <v>208</v>
      </c>
      <c r="B86" s="2"/>
      <c r="C86" s="2"/>
      <c r="E86" s="2">
        <v>26500</v>
      </c>
      <c r="F86" s="2" t="s">
        <v>342</v>
      </c>
      <c r="G86" s="2">
        <v>0.95</v>
      </c>
      <c r="H86" s="2">
        <v>-0.40000000000000013</v>
      </c>
      <c r="I86" s="2">
        <v>600</v>
      </c>
      <c r="J86" s="8">
        <v>45929.569016203706</v>
      </c>
      <c r="K86" s="2">
        <v>32332800</v>
      </c>
      <c r="L86" s="2">
        <v>1495425</v>
      </c>
      <c r="M86" s="2">
        <v>0.86</v>
      </c>
      <c r="N86" s="2">
        <v>0.95</v>
      </c>
      <c r="O86" s="2">
        <v>1.1000000000000001</v>
      </c>
      <c r="P86" s="2">
        <v>0.7</v>
      </c>
      <c r="Q86" s="2">
        <v>0.9</v>
      </c>
      <c r="R86" s="2">
        <v>0.95</v>
      </c>
      <c r="S86" s="2">
        <v>1.35</v>
      </c>
      <c r="T86" s="2">
        <v>13900275</v>
      </c>
      <c r="U86" s="2">
        <v>99470</v>
      </c>
      <c r="V86" s="2">
        <v>-10780</v>
      </c>
      <c r="W86" s="2">
        <v>-1783.75</v>
      </c>
      <c r="X86" s="2">
        <v>1784.7</v>
      </c>
      <c r="Y86" s="2">
        <v>0.48867980797783528</v>
      </c>
      <c r="Z86" s="2">
        <v>4.6479220624188527E-3</v>
      </c>
      <c r="AA86" s="2">
        <v>2.0652151769263631E-5</v>
      </c>
      <c r="AB86" s="2">
        <v>3.3610199190515977E-3</v>
      </c>
      <c r="AC86" s="2">
        <v>-4.1584218509290185</v>
      </c>
      <c r="AD86" s="2">
        <v>0.18188248773594087</v>
      </c>
      <c r="AE86" s="2">
        <v>26500</v>
      </c>
      <c r="AF86" s="2" t="s">
        <v>343</v>
      </c>
      <c r="AG86" s="2">
        <v>1755</v>
      </c>
      <c r="AH86" s="2">
        <v>-63.75</v>
      </c>
      <c r="AI86" s="2">
        <v>225</v>
      </c>
      <c r="AJ86" s="8">
        <v>45929.568912037037</v>
      </c>
      <c r="AK86" s="2">
        <v>11175</v>
      </c>
      <c r="AL86" s="2">
        <v>14550</v>
      </c>
      <c r="AM86" s="2">
        <v>1745.37</v>
      </c>
      <c r="AN86" s="2">
        <v>1759.95</v>
      </c>
      <c r="AO86" s="2">
        <v>1851.7</v>
      </c>
      <c r="AP86" s="2">
        <v>1665.75</v>
      </c>
      <c r="AQ86" s="2">
        <v>1749.25</v>
      </c>
      <c r="AR86" s="2">
        <v>1754.05</v>
      </c>
      <c r="AS86" s="2">
        <v>1818.75</v>
      </c>
      <c r="AT86" s="2">
        <v>153450</v>
      </c>
      <c r="AU86" s="2">
        <v>3963</v>
      </c>
      <c r="AV86" s="2">
        <v>-749</v>
      </c>
      <c r="AW86" s="2">
        <v>1783.75</v>
      </c>
      <c r="AX86" s="2">
        <v>-28.75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F86" s="2"/>
      <c r="BG86" s="2"/>
      <c r="BH86" s="2"/>
    </row>
    <row r="87" spans="1:60" x14ac:dyDescent="0.2">
      <c r="A87" s="2" t="s">
        <v>209</v>
      </c>
      <c r="B87" s="2"/>
      <c r="C87" s="2"/>
      <c r="E87" s="2">
        <v>26550</v>
      </c>
      <c r="F87" s="2" t="s">
        <v>342</v>
      </c>
      <c r="G87" s="2">
        <v>0.9</v>
      </c>
      <c r="H87" s="2">
        <v>-0.45000000000000007</v>
      </c>
      <c r="I87" s="2">
        <v>75</v>
      </c>
      <c r="J87" s="8">
        <v>45929.56349537037</v>
      </c>
      <c r="K87" s="2">
        <v>5019525</v>
      </c>
      <c r="L87" s="2">
        <v>270225</v>
      </c>
      <c r="M87" s="2">
        <v>0.9</v>
      </c>
      <c r="N87" s="2">
        <v>1.25</v>
      </c>
      <c r="O87" s="2">
        <v>1.25</v>
      </c>
      <c r="P87" s="2">
        <v>0.65</v>
      </c>
      <c r="Q87" s="2">
        <v>0.9</v>
      </c>
      <c r="R87" s="2">
        <v>0.95</v>
      </c>
      <c r="S87" s="2">
        <v>1.35</v>
      </c>
      <c r="T87" s="2">
        <v>1254900</v>
      </c>
      <c r="U87" s="2">
        <v>3660</v>
      </c>
      <c r="V87" s="2">
        <v>-326</v>
      </c>
      <c r="W87" s="2">
        <v>-1833.75</v>
      </c>
      <c r="X87" s="2">
        <v>1834.65</v>
      </c>
      <c r="Y87" s="2">
        <v>0.4976139610670855</v>
      </c>
      <c r="Z87" s="2">
        <v>4.3510321396693667E-3</v>
      </c>
      <c r="AA87" s="2">
        <v>1.9120446023718373E-5</v>
      </c>
      <c r="AB87" s="2">
        <v>3.1460177003700498E-3</v>
      </c>
      <c r="AC87" s="2">
        <v>-3.9913167463677102</v>
      </c>
      <c r="AD87" s="2">
        <v>0.17147147355806688</v>
      </c>
      <c r="AE87" s="2">
        <v>26550</v>
      </c>
      <c r="AF87" s="2" t="s">
        <v>343</v>
      </c>
      <c r="AG87" s="2">
        <v>1716.45</v>
      </c>
      <c r="AH87" s="2">
        <v>0</v>
      </c>
      <c r="AI87" s="2">
        <v>75</v>
      </c>
      <c r="AJ87" s="8">
        <v>45926.535439814812</v>
      </c>
      <c r="AK87" s="2">
        <v>8400</v>
      </c>
      <c r="AL87" s="2">
        <v>9600</v>
      </c>
      <c r="AM87" s="2">
        <v>0</v>
      </c>
      <c r="AN87" s="2">
        <v>0</v>
      </c>
      <c r="AO87" s="2">
        <v>0</v>
      </c>
      <c r="AP87" s="2">
        <v>0</v>
      </c>
      <c r="AQ87" s="2">
        <v>1790.95</v>
      </c>
      <c r="AR87" s="2">
        <v>1818.55</v>
      </c>
      <c r="AS87" s="2">
        <v>1716.45</v>
      </c>
      <c r="AT87" s="2">
        <v>0</v>
      </c>
      <c r="AU87" s="2">
        <v>16</v>
      </c>
      <c r="AV87" s="2">
        <v>0</v>
      </c>
      <c r="AW87" s="2">
        <v>1833.75</v>
      </c>
      <c r="AX87" s="2">
        <v>-117.29999999999995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F87" s="2"/>
      <c r="BG87" s="2"/>
      <c r="BH87" s="2"/>
    </row>
    <row r="88" spans="1:60" x14ac:dyDescent="0.2">
      <c r="A88" s="2" t="s">
        <v>210</v>
      </c>
      <c r="B88" s="2"/>
      <c r="C88" s="2"/>
      <c r="E88" s="2">
        <v>26600</v>
      </c>
      <c r="F88" s="2" t="s">
        <v>342</v>
      </c>
      <c r="G88" s="2">
        <v>0.95</v>
      </c>
      <c r="H88" s="2">
        <v>-0.44999999999999996</v>
      </c>
      <c r="I88" s="2">
        <v>1500</v>
      </c>
      <c r="J88" s="8">
        <v>45929.568969907406</v>
      </c>
      <c r="K88" s="2">
        <v>12195375</v>
      </c>
      <c r="L88" s="2">
        <v>1026225</v>
      </c>
      <c r="M88" s="2">
        <v>0.88</v>
      </c>
      <c r="N88" s="2">
        <v>0.9</v>
      </c>
      <c r="O88" s="2">
        <v>1.45</v>
      </c>
      <c r="P88" s="2">
        <v>0.65</v>
      </c>
      <c r="Q88" s="2">
        <v>0.9</v>
      </c>
      <c r="R88" s="2">
        <v>0.95</v>
      </c>
      <c r="S88" s="2">
        <v>1.4</v>
      </c>
      <c r="T88" s="2">
        <v>3160050</v>
      </c>
      <c r="U88" s="2">
        <v>29645</v>
      </c>
      <c r="V88" s="2">
        <v>1051</v>
      </c>
      <c r="W88" s="2">
        <v>-1883.75</v>
      </c>
      <c r="X88" s="2">
        <v>1884.7</v>
      </c>
      <c r="Y88" s="2">
        <v>0.51221378874707602</v>
      </c>
      <c r="Z88" s="2">
        <v>4.4534223031631398E-3</v>
      </c>
      <c r="AA88" s="2">
        <v>1.8965513541299199E-5</v>
      </c>
      <c r="AB88" s="2">
        <v>3.219200157258126E-3</v>
      </c>
      <c r="AC88" s="2">
        <v>-4.193884095502268</v>
      </c>
      <c r="AD88" s="2">
        <v>0.1750721624574742</v>
      </c>
      <c r="AE88" s="2">
        <v>26600</v>
      </c>
      <c r="AF88" s="2" t="s">
        <v>343</v>
      </c>
      <c r="AG88" s="2">
        <v>1860</v>
      </c>
      <c r="AH88" s="2">
        <v>-47.299999999999955</v>
      </c>
      <c r="AI88" s="2">
        <v>75</v>
      </c>
      <c r="AJ88" s="8">
        <v>45929.565428240741</v>
      </c>
      <c r="AK88" s="2">
        <v>9975</v>
      </c>
      <c r="AL88" s="2">
        <v>12150</v>
      </c>
      <c r="AM88" s="2">
        <v>1855.42</v>
      </c>
      <c r="AN88" s="2">
        <v>1800</v>
      </c>
      <c r="AO88" s="2">
        <v>1915</v>
      </c>
      <c r="AP88" s="2">
        <v>1790</v>
      </c>
      <c r="AQ88" s="2">
        <v>1844.7</v>
      </c>
      <c r="AR88" s="2">
        <v>1858.8</v>
      </c>
      <c r="AS88" s="2">
        <v>1907.3</v>
      </c>
      <c r="AT88" s="2">
        <v>1575</v>
      </c>
      <c r="AU88" s="2">
        <v>47</v>
      </c>
      <c r="AV88" s="2">
        <v>-6</v>
      </c>
      <c r="AW88" s="2">
        <v>1883.75</v>
      </c>
      <c r="AX88" s="2">
        <v>-23.75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F88" s="2"/>
      <c r="BG88" s="2"/>
      <c r="BH88" s="2"/>
    </row>
    <row r="89" spans="1:60" x14ac:dyDescent="0.2">
      <c r="A89" s="2" t="s">
        <v>211</v>
      </c>
      <c r="B89" s="2"/>
      <c r="C89" s="2"/>
      <c r="E89" s="2">
        <v>26650</v>
      </c>
      <c r="F89" s="2" t="s">
        <v>342</v>
      </c>
      <c r="G89" s="2">
        <v>0.85</v>
      </c>
      <c r="H89" s="2">
        <v>-0.45000000000000007</v>
      </c>
      <c r="I89" s="2">
        <v>300</v>
      </c>
      <c r="J89" s="8">
        <v>45929.56391203704</v>
      </c>
      <c r="K89" s="2">
        <v>4547400</v>
      </c>
      <c r="L89" s="2">
        <v>333450</v>
      </c>
      <c r="M89" s="2">
        <v>0.84</v>
      </c>
      <c r="N89" s="2">
        <v>1.1000000000000001</v>
      </c>
      <c r="O89" s="2">
        <v>1.1000000000000001</v>
      </c>
      <c r="P89" s="2">
        <v>0.6</v>
      </c>
      <c r="Q89" s="2">
        <v>0.85</v>
      </c>
      <c r="R89" s="2">
        <v>0.9</v>
      </c>
      <c r="S89" s="2">
        <v>1.3</v>
      </c>
      <c r="T89" s="2">
        <v>1608975</v>
      </c>
      <c r="U89" s="2">
        <v>3606</v>
      </c>
      <c r="V89" s="2">
        <v>481</v>
      </c>
      <c r="W89" s="2">
        <v>-1933.75</v>
      </c>
      <c r="X89" s="2">
        <v>1934.6</v>
      </c>
      <c r="Y89" s="2">
        <v>0.51784757131969095</v>
      </c>
      <c r="Z89" s="2">
        <v>3.9817266598839397E-3</v>
      </c>
      <c r="AA89" s="2">
        <v>1.6971772623144286E-5</v>
      </c>
      <c r="AB89" s="2">
        <v>2.8782128308906742E-3</v>
      </c>
      <c r="AC89" s="2">
        <v>-3.8354000869108131</v>
      </c>
      <c r="AD89" s="2">
        <v>0.15839100013382537</v>
      </c>
      <c r="AE89" s="2">
        <v>26650</v>
      </c>
      <c r="AF89" s="2" t="s">
        <v>343</v>
      </c>
      <c r="AG89" s="2">
        <v>1382.35</v>
      </c>
      <c r="AH89" s="2">
        <v>0</v>
      </c>
      <c r="AI89" s="2">
        <v>75</v>
      </c>
      <c r="AJ89" s="8">
        <v>45923.62667824074</v>
      </c>
      <c r="AK89" s="2">
        <v>9150</v>
      </c>
      <c r="AL89" s="2">
        <v>9450</v>
      </c>
      <c r="AM89" s="2">
        <v>0</v>
      </c>
      <c r="AN89" s="2">
        <v>0</v>
      </c>
      <c r="AO89" s="2">
        <v>0</v>
      </c>
      <c r="AP89" s="2">
        <v>0</v>
      </c>
      <c r="AQ89" s="2">
        <v>1871.55</v>
      </c>
      <c r="AR89" s="2">
        <v>1937.4</v>
      </c>
      <c r="AS89" s="2">
        <v>1382.35</v>
      </c>
      <c r="AT89" s="2">
        <v>0</v>
      </c>
      <c r="AU89" s="2">
        <v>13</v>
      </c>
      <c r="AV89" s="2">
        <v>0</v>
      </c>
      <c r="AW89" s="2">
        <v>1933.75</v>
      </c>
      <c r="AX89" s="2">
        <v>-551.40000000000009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F89" s="2"/>
      <c r="BG89" s="2"/>
      <c r="BH89" s="2"/>
    </row>
    <row r="90" spans="1:60" x14ac:dyDescent="0.2">
      <c r="A90" s="2" t="s">
        <v>212</v>
      </c>
      <c r="B90" s="2"/>
      <c r="C90" s="2"/>
      <c r="E90" s="2">
        <v>26700</v>
      </c>
      <c r="F90" s="2" t="s">
        <v>342</v>
      </c>
      <c r="G90" s="2">
        <v>0.9</v>
      </c>
      <c r="H90" s="2">
        <v>-0.4</v>
      </c>
      <c r="I90" s="2">
        <v>1275</v>
      </c>
      <c r="J90" s="8">
        <v>45929.56894675926</v>
      </c>
      <c r="K90" s="2">
        <v>6837450</v>
      </c>
      <c r="L90" s="2">
        <v>932475</v>
      </c>
      <c r="M90" s="2">
        <v>0.88</v>
      </c>
      <c r="N90" s="2">
        <v>1</v>
      </c>
      <c r="O90" s="2">
        <v>1.1000000000000001</v>
      </c>
      <c r="P90" s="2">
        <v>0.65</v>
      </c>
      <c r="Q90" s="2">
        <v>0.85</v>
      </c>
      <c r="R90" s="2">
        <v>0.9</v>
      </c>
      <c r="S90" s="2">
        <v>1.3</v>
      </c>
      <c r="T90" s="2">
        <v>3848550</v>
      </c>
      <c r="U90" s="2">
        <v>31212</v>
      </c>
      <c r="V90" s="2">
        <v>4602</v>
      </c>
      <c r="W90" s="2">
        <v>-1983.75</v>
      </c>
      <c r="X90" s="2">
        <v>1984.65</v>
      </c>
      <c r="Y90" s="2">
        <v>0.53252673888010704</v>
      </c>
      <c r="Z90" s="2">
        <v>4.0907456561209022E-3</v>
      </c>
      <c r="AA90" s="2">
        <v>1.6907913388054955E-5</v>
      </c>
      <c r="AB90" s="2">
        <v>2.956228826797665E-3</v>
      </c>
      <c r="AC90" s="2">
        <v>-4.0399551963521185</v>
      </c>
      <c r="AD90" s="2">
        <v>0.1622679360531222</v>
      </c>
      <c r="AE90" s="2">
        <v>26700</v>
      </c>
      <c r="AF90" s="2" t="s">
        <v>343</v>
      </c>
      <c r="AG90" s="2">
        <v>2004</v>
      </c>
      <c r="AH90" s="2">
        <v>0</v>
      </c>
      <c r="AI90" s="2">
        <v>75</v>
      </c>
      <c r="AJ90" s="8">
        <v>45926.591979166667</v>
      </c>
      <c r="AK90" s="2">
        <v>10050</v>
      </c>
      <c r="AL90" s="2">
        <v>10350</v>
      </c>
      <c r="AM90" s="2">
        <v>0</v>
      </c>
      <c r="AN90" s="2">
        <v>0</v>
      </c>
      <c r="AO90" s="2">
        <v>0</v>
      </c>
      <c r="AP90" s="2">
        <v>0</v>
      </c>
      <c r="AQ90" s="2">
        <v>1925.65</v>
      </c>
      <c r="AR90" s="2">
        <v>1982.65</v>
      </c>
      <c r="AS90" s="2">
        <v>2004</v>
      </c>
      <c r="AT90" s="2">
        <v>0</v>
      </c>
      <c r="AU90" s="2">
        <v>88</v>
      </c>
      <c r="AV90" s="2">
        <v>0</v>
      </c>
      <c r="AW90" s="2">
        <v>1983.75</v>
      </c>
      <c r="AX90" s="2">
        <v>20.25</v>
      </c>
      <c r="AY90" s="2">
        <v>0.88131572026824256</v>
      </c>
      <c r="AZ90" s="2">
        <v>-0.94325629278814405</v>
      </c>
      <c r="BA90" s="2">
        <v>9.6367352572235873E-5</v>
      </c>
      <c r="BB90" s="2">
        <v>-0.74689798683984121</v>
      </c>
      <c r="BC90" s="2">
        <v>-55.701249666497858</v>
      </c>
      <c r="BD90" s="2">
        <v>1.5306032890448209</v>
      </c>
      <c r="BF90" s="2"/>
      <c r="BG90" s="2"/>
      <c r="BH90" s="2"/>
    </row>
    <row r="91" spans="1:60" x14ac:dyDescent="0.2">
      <c r="A91" s="2" t="s">
        <v>213</v>
      </c>
      <c r="B91" s="2"/>
      <c r="C91" s="2"/>
      <c r="E91" s="2">
        <v>26750</v>
      </c>
      <c r="F91" s="2" t="s">
        <v>342</v>
      </c>
      <c r="G91" s="2">
        <v>0.85</v>
      </c>
      <c r="H91" s="2">
        <v>-0.35</v>
      </c>
      <c r="I91" s="2">
        <v>150</v>
      </c>
      <c r="J91" s="8">
        <v>45929.569027777776</v>
      </c>
      <c r="K91" s="2">
        <v>4496175</v>
      </c>
      <c r="L91" s="2">
        <v>234450</v>
      </c>
      <c r="M91" s="2">
        <v>0.83</v>
      </c>
      <c r="N91" s="2">
        <v>1.2</v>
      </c>
      <c r="O91" s="2">
        <v>1.2</v>
      </c>
      <c r="P91" s="2">
        <v>0.6</v>
      </c>
      <c r="Q91" s="2">
        <v>0.85</v>
      </c>
      <c r="R91" s="2">
        <v>0.9</v>
      </c>
      <c r="S91" s="2">
        <v>1.2</v>
      </c>
      <c r="T91" s="2">
        <v>1073925</v>
      </c>
      <c r="U91" s="2">
        <v>2934</v>
      </c>
      <c r="V91" s="2">
        <v>1009</v>
      </c>
      <c r="W91" s="2">
        <v>-2033.75</v>
      </c>
      <c r="X91" s="2">
        <v>2034.6</v>
      </c>
      <c r="Y91" s="2">
        <v>0.54086550522058086</v>
      </c>
      <c r="Z91" s="2">
        <v>3.827129449281045E-3</v>
      </c>
      <c r="AA91" s="2">
        <v>1.5683082187515022E-5</v>
      </c>
      <c r="AB91" s="2">
        <v>2.7654876580881717E-3</v>
      </c>
      <c r="AC91" s="2">
        <v>-3.8649849118536275</v>
      </c>
      <c r="AD91" s="2">
        <v>0.15286991905964695</v>
      </c>
      <c r="AE91" s="2">
        <v>26750</v>
      </c>
      <c r="AF91" s="2" t="s">
        <v>343</v>
      </c>
      <c r="AG91" s="2">
        <v>1465.95</v>
      </c>
      <c r="AH91" s="2">
        <v>0</v>
      </c>
      <c r="AI91" s="2">
        <v>75</v>
      </c>
      <c r="AJ91" s="8">
        <v>45923.619733796295</v>
      </c>
      <c r="AK91" s="2">
        <v>7950</v>
      </c>
      <c r="AL91" s="2">
        <v>9600</v>
      </c>
      <c r="AM91" s="2">
        <v>0</v>
      </c>
      <c r="AN91" s="2">
        <v>0</v>
      </c>
      <c r="AO91" s="2">
        <v>0</v>
      </c>
      <c r="AP91" s="2">
        <v>0</v>
      </c>
      <c r="AQ91" s="2">
        <v>1893.15</v>
      </c>
      <c r="AR91" s="2">
        <v>2174.6</v>
      </c>
      <c r="AS91" s="2">
        <v>1465.95</v>
      </c>
      <c r="AT91" s="2">
        <v>0</v>
      </c>
      <c r="AU91" s="2">
        <v>9</v>
      </c>
      <c r="AV91" s="2">
        <v>0</v>
      </c>
      <c r="AW91" s="2">
        <v>2033.75</v>
      </c>
      <c r="AX91" s="2">
        <v>-567.79999999999995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F91" s="2"/>
      <c r="BG91" s="2"/>
      <c r="BH91" s="2"/>
    </row>
    <row r="92" spans="1:60" x14ac:dyDescent="0.2">
      <c r="A92" s="2" t="s">
        <v>214</v>
      </c>
      <c r="B92" s="2"/>
      <c r="C92" s="2"/>
      <c r="E92" s="2">
        <v>26800</v>
      </c>
      <c r="F92" s="2" t="s">
        <v>342</v>
      </c>
      <c r="G92" s="2">
        <v>0.85</v>
      </c>
      <c r="H92" s="2">
        <v>-0.29999999999999993</v>
      </c>
      <c r="I92" s="2">
        <v>450</v>
      </c>
      <c r="J92" s="8">
        <v>45929.567604166667</v>
      </c>
      <c r="K92" s="2">
        <v>6103050</v>
      </c>
      <c r="L92" s="2">
        <v>433125</v>
      </c>
      <c r="M92" s="2">
        <v>0.82</v>
      </c>
      <c r="N92" s="2">
        <v>2</v>
      </c>
      <c r="O92" s="2">
        <v>2</v>
      </c>
      <c r="P92" s="2">
        <v>0.6</v>
      </c>
      <c r="Q92" s="2">
        <v>0.8</v>
      </c>
      <c r="R92" s="2">
        <v>0.85</v>
      </c>
      <c r="S92" s="2">
        <v>1.1499999999999999</v>
      </c>
      <c r="T92" s="2">
        <v>1718175</v>
      </c>
      <c r="U92" s="2">
        <v>5928</v>
      </c>
      <c r="V92" s="2">
        <v>-58</v>
      </c>
      <c r="W92" s="2">
        <v>-2083.75</v>
      </c>
      <c r="X92" s="2">
        <v>2084.6</v>
      </c>
      <c r="Y92" s="2">
        <v>0.55230446326948457</v>
      </c>
      <c r="Z92" s="2">
        <v>3.7548726263799495E-3</v>
      </c>
      <c r="AA92" s="2">
        <v>1.5098048916203772E-5</v>
      </c>
      <c r="AB92" s="2">
        <v>2.7128012802203833E-3</v>
      </c>
      <c r="AC92" s="2">
        <v>-3.8792691534353203</v>
      </c>
      <c r="AD92" s="2">
        <v>0.15027983160748259</v>
      </c>
      <c r="AE92" s="2">
        <v>26800</v>
      </c>
      <c r="AF92" s="2" t="s">
        <v>343</v>
      </c>
      <c r="AG92" s="2">
        <v>2057.6</v>
      </c>
      <c r="AH92" s="2">
        <v>7.5999999999999091</v>
      </c>
      <c r="AI92" s="2">
        <v>75</v>
      </c>
      <c r="AJ92" s="8">
        <v>45929.566192129627</v>
      </c>
      <c r="AK92" s="2">
        <v>10800</v>
      </c>
      <c r="AL92" s="2">
        <v>11775</v>
      </c>
      <c r="AM92" s="2">
        <v>2030.43</v>
      </c>
      <c r="AN92" s="2">
        <v>1980</v>
      </c>
      <c r="AO92" s="2">
        <v>2145</v>
      </c>
      <c r="AP92" s="2">
        <v>1980</v>
      </c>
      <c r="AQ92" s="2">
        <v>2044.25</v>
      </c>
      <c r="AR92" s="2">
        <v>2055.25</v>
      </c>
      <c r="AS92" s="2">
        <v>2050</v>
      </c>
      <c r="AT92" s="2">
        <v>450</v>
      </c>
      <c r="AU92" s="2">
        <v>40</v>
      </c>
      <c r="AV92" s="2">
        <v>-5</v>
      </c>
      <c r="AW92" s="2">
        <v>2083.75</v>
      </c>
      <c r="AX92" s="2">
        <v>-26.150000000000091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F92" s="2"/>
      <c r="BG92" s="2"/>
      <c r="BH92" s="2"/>
    </row>
    <row r="93" spans="1:60" x14ac:dyDescent="0.2">
      <c r="A93" s="2" t="s">
        <v>215</v>
      </c>
      <c r="B93" s="2"/>
      <c r="C93" s="2"/>
      <c r="E93" s="2">
        <v>26850</v>
      </c>
      <c r="F93" s="2" t="s">
        <v>342</v>
      </c>
      <c r="G93" s="2">
        <v>0.8</v>
      </c>
      <c r="H93" s="2">
        <v>-0.34999999999999987</v>
      </c>
      <c r="I93" s="2">
        <v>75</v>
      </c>
      <c r="J93" s="8">
        <v>45929.567708333336</v>
      </c>
      <c r="K93" s="2">
        <v>4660050</v>
      </c>
      <c r="L93" s="2">
        <v>269925</v>
      </c>
      <c r="M93" s="2">
        <v>0.82</v>
      </c>
      <c r="N93" s="2">
        <v>1</v>
      </c>
      <c r="O93" s="2">
        <v>1</v>
      </c>
      <c r="P93" s="2">
        <v>0.6</v>
      </c>
      <c r="Q93" s="2">
        <v>0.8</v>
      </c>
      <c r="R93" s="2">
        <v>0.85</v>
      </c>
      <c r="S93" s="2">
        <v>1.1499999999999999</v>
      </c>
      <c r="T93" s="2">
        <v>638475</v>
      </c>
      <c r="U93" s="2">
        <v>2266</v>
      </c>
      <c r="V93" s="2">
        <v>590</v>
      </c>
      <c r="W93" s="2">
        <v>-2133.75</v>
      </c>
      <c r="X93" s="2">
        <v>2134.5500000000002</v>
      </c>
      <c r="Y93" s="2">
        <v>0.56023847661552539</v>
      </c>
      <c r="Z93" s="2">
        <v>3.5055211579843423E-3</v>
      </c>
      <c r="AA93" s="2">
        <v>1.3994138048427224E-5</v>
      </c>
      <c r="AB93" s="2">
        <v>2.5324603404946961E-3</v>
      </c>
      <c r="AC93" s="2">
        <v>-3.6991701328625175</v>
      </c>
      <c r="AD93" s="2">
        <v>0.14129288877026397</v>
      </c>
      <c r="AE93" s="2">
        <v>26850</v>
      </c>
      <c r="AF93" s="2" t="s">
        <v>343</v>
      </c>
      <c r="AG93" s="2">
        <v>2060.25</v>
      </c>
      <c r="AH93" s="2">
        <v>60.25</v>
      </c>
      <c r="AI93" s="2">
        <v>75</v>
      </c>
      <c r="AJ93" s="8">
        <v>45929.460833333331</v>
      </c>
      <c r="AK93" s="2">
        <v>11400</v>
      </c>
      <c r="AL93" s="2">
        <v>12300</v>
      </c>
      <c r="AM93" s="2">
        <v>2059.9</v>
      </c>
      <c r="AN93" s="2">
        <v>2059.5500000000002</v>
      </c>
      <c r="AO93" s="2">
        <v>2060.25</v>
      </c>
      <c r="AP93" s="2">
        <v>2059.5500000000002</v>
      </c>
      <c r="AQ93" s="2">
        <v>2092.65</v>
      </c>
      <c r="AR93" s="2">
        <v>2109.9499999999998</v>
      </c>
      <c r="AS93" s="2">
        <v>2000</v>
      </c>
      <c r="AT93" s="2">
        <v>150</v>
      </c>
      <c r="AU93" s="2">
        <v>14</v>
      </c>
      <c r="AV93" s="2">
        <v>-1</v>
      </c>
      <c r="AW93" s="2">
        <v>2133.75</v>
      </c>
      <c r="AX93" s="2">
        <v>-73.5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F93" s="2"/>
      <c r="BG93" s="2"/>
      <c r="BH93" s="2"/>
    </row>
    <row r="94" spans="1:60" x14ac:dyDescent="0.2">
      <c r="A94" s="2" t="s">
        <v>216</v>
      </c>
      <c r="B94" s="2"/>
      <c r="C94" s="2"/>
      <c r="E94" s="2">
        <v>26900</v>
      </c>
      <c r="F94" s="2" t="s">
        <v>342</v>
      </c>
      <c r="G94" s="2">
        <v>0.8</v>
      </c>
      <c r="H94" s="2">
        <v>-0.34999999999999987</v>
      </c>
      <c r="I94" s="2">
        <v>225</v>
      </c>
      <c r="J94" s="8">
        <v>45929.568495370368</v>
      </c>
      <c r="K94" s="2">
        <v>3935475</v>
      </c>
      <c r="L94" s="2">
        <v>267300</v>
      </c>
      <c r="M94" s="2">
        <v>0.79</v>
      </c>
      <c r="N94" s="2">
        <v>1.1499999999999999</v>
      </c>
      <c r="O94" s="2">
        <v>1.1499999999999999</v>
      </c>
      <c r="P94" s="2">
        <v>0.6</v>
      </c>
      <c r="Q94" s="2">
        <v>0.75</v>
      </c>
      <c r="R94" s="2">
        <v>0.8</v>
      </c>
      <c r="S94" s="2">
        <v>1.1499999999999999</v>
      </c>
      <c r="T94" s="2">
        <v>915900</v>
      </c>
      <c r="U94" s="2">
        <v>2879</v>
      </c>
      <c r="V94" s="2">
        <v>-69</v>
      </c>
      <c r="W94" s="2">
        <v>-2183.75</v>
      </c>
      <c r="X94" s="2">
        <v>2184.5500000000002</v>
      </c>
      <c r="Y94" s="2">
        <v>0.57153030371672908</v>
      </c>
      <c r="Z94" s="2">
        <v>3.4423260786865819E-3</v>
      </c>
      <c r="AA94" s="2">
        <v>1.3495320250985789E-5</v>
      </c>
      <c r="AB94" s="2">
        <v>2.4863821181691135E-3</v>
      </c>
      <c r="AC94" s="2">
        <v>-3.712051409010066</v>
      </c>
      <c r="AD94" s="2">
        <v>0.139002877439735</v>
      </c>
      <c r="AE94" s="2">
        <v>26900</v>
      </c>
      <c r="AF94" s="2" t="s">
        <v>343</v>
      </c>
      <c r="AG94" s="2">
        <v>2100</v>
      </c>
      <c r="AH94" s="2">
        <v>476.59999999999991</v>
      </c>
      <c r="AI94" s="2">
        <v>75</v>
      </c>
      <c r="AJ94" s="8">
        <v>45929.460370370369</v>
      </c>
      <c r="AK94" s="2">
        <v>12525</v>
      </c>
      <c r="AL94" s="2">
        <v>12300</v>
      </c>
      <c r="AM94" s="2">
        <v>2100</v>
      </c>
      <c r="AN94" s="2">
        <v>2100</v>
      </c>
      <c r="AO94" s="2">
        <v>2100</v>
      </c>
      <c r="AP94" s="2">
        <v>2100</v>
      </c>
      <c r="AQ94" s="2">
        <v>2138.35</v>
      </c>
      <c r="AR94" s="2">
        <v>2162.4</v>
      </c>
      <c r="AS94" s="2">
        <v>1623.4</v>
      </c>
      <c r="AT94" s="2">
        <v>75</v>
      </c>
      <c r="AU94" s="2">
        <v>25</v>
      </c>
      <c r="AV94" s="2">
        <v>0</v>
      </c>
      <c r="AW94" s="2">
        <v>2183.75</v>
      </c>
      <c r="AX94" s="2">
        <v>-83.75</v>
      </c>
      <c r="AY94" s="2">
        <v>0</v>
      </c>
      <c r="AZ94" s="2">
        <v>0</v>
      </c>
      <c r="BA94" s="2">
        <v>0</v>
      </c>
      <c r="BB94" s="2">
        <v>0</v>
      </c>
      <c r="BC94" s="2">
        <v>0</v>
      </c>
      <c r="BD94" s="2">
        <v>0</v>
      </c>
      <c r="BF94" s="2"/>
      <c r="BG94" s="2"/>
      <c r="BH94" s="2"/>
    </row>
    <row r="95" spans="1:60" x14ac:dyDescent="0.2">
      <c r="A95" s="2" t="s">
        <v>217</v>
      </c>
      <c r="B95" s="2"/>
      <c r="C95" s="2"/>
      <c r="E95" s="2">
        <v>26950</v>
      </c>
      <c r="F95" s="2" t="s">
        <v>342</v>
      </c>
      <c r="G95" s="2">
        <v>0.75</v>
      </c>
      <c r="H95" s="2">
        <v>-0.39999999999999991</v>
      </c>
      <c r="I95" s="2">
        <v>1425</v>
      </c>
      <c r="J95" s="8">
        <v>45929.564432870371</v>
      </c>
      <c r="K95" s="2">
        <v>4675500</v>
      </c>
      <c r="L95" s="2">
        <v>232350</v>
      </c>
      <c r="M95" s="2">
        <v>0.73</v>
      </c>
      <c r="N95" s="2">
        <v>0.8</v>
      </c>
      <c r="O95" s="2">
        <v>0.9</v>
      </c>
      <c r="P95" s="2">
        <v>0.55000000000000004</v>
      </c>
      <c r="Q95" s="2">
        <v>0.75</v>
      </c>
      <c r="R95" s="2">
        <v>0.8</v>
      </c>
      <c r="S95" s="2">
        <v>1.1499999999999999</v>
      </c>
      <c r="T95" s="2">
        <v>725700</v>
      </c>
      <c r="U95" s="2">
        <v>1684</v>
      </c>
      <c r="V95" s="2">
        <v>81</v>
      </c>
      <c r="W95" s="2">
        <v>-2233.75</v>
      </c>
      <c r="X95" s="2">
        <v>2234.5</v>
      </c>
      <c r="Y95" s="2">
        <v>0.57903548535576443</v>
      </c>
      <c r="Z95" s="2">
        <v>3.2054737923882183E-3</v>
      </c>
      <c r="AA95" s="2">
        <v>1.2493430491156058E-5</v>
      </c>
      <c r="AB95" s="2">
        <v>2.3151552073777258E-3</v>
      </c>
      <c r="AC95" s="2">
        <v>-3.5268746417372112</v>
      </c>
      <c r="AD95" s="2">
        <v>0.13037314680371376</v>
      </c>
      <c r="AE95" s="2">
        <v>26950</v>
      </c>
      <c r="AF95" s="2" t="s">
        <v>343</v>
      </c>
      <c r="AG95" s="2">
        <v>2080.9499999999998</v>
      </c>
      <c r="AH95" s="2">
        <v>0</v>
      </c>
      <c r="AI95" s="2">
        <v>75</v>
      </c>
      <c r="AJ95" s="8">
        <v>45905.643368055556</v>
      </c>
      <c r="AK95" s="2">
        <v>9300</v>
      </c>
      <c r="AL95" s="2">
        <v>11250</v>
      </c>
      <c r="AM95" s="2">
        <v>0</v>
      </c>
      <c r="AN95" s="2">
        <v>0</v>
      </c>
      <c r="AO95" s="2">
        <v>0</v>
      </c>
      <c r="AP95" s="2">
        <v>0</v>
      </c>
      <c r="AQ95" s="2">
        <v>2184.8000000000002</v>
      </c>
      <c r="AR95" s="2">
        <v>2219.15</v>
      </c>
      <c r="AS95" s="2">
        <v>2080.9499999999998</v>
      </c>
      <c r="AT95" s="2">
        <v>0</v>
      </c>
      <c r="AU95" s="2">
        <v>13</v>
      </c>
      <c r="AV95" s="2">
        <v>0</v>
      </c>
      <c r="AW95" s="2">
        <v>2233.75</v>
      </c>
      <c r="AX95" s="2">
        <v>-152.80000000000018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F95" s="2"/>
      <c r="BG95" s="2"/>
      <c r="BH95" s="2"/>
    </row>
    <row r="96" spans="1:60" x14ac:dyDescent="0.2">
      <c r="A96" s="2" t="s">
        <v>218</v>
      </c>
      <c r="B96" s="2"/>
      <c r="C96" s="2"/>
      <c r="E96" s="2">
        <v>27000</v>
      </c>
      <c r="F96" s="2" t="s">
        <v>342</v>
      </c>
      <c r="G96" s="2">
        <v>0.8</v>
      </c>
      <c r="H96" s="2">
        <v>-0.19999999999999996</v>
      </c>
      <c r="I96" s="2">
        <v>375</v>
      </c>
      <c r="J96" s="8">
        <v>45929.568831018521</v>
      </c>
      <c r="K96" s="2">
        <v>26975025</v>
      </c>
      <c r="L96" s="2">
        <v>1182525</v>
      </c>
      <c r="M96" s="2">
        <v>0.71</v>
      </c>
      <c r="N96" s="2">
        <v>0.7</v>
      </c>
      <c r="O96" s="2">
        <v>0.9</v>
      </c>
      <c r="P96" s="2">
        <v>0.55000000000000004</v>
      </c>
      <c r="Q96" s="2">
        <v>0.8</v>
      </c>
      <c r="R96" s="2">
        <v>0.85</v>
      </c>
      <c r="S96" s="2">
        <v>1</v>
      </c>
      <c r="T96" s="2">
        <v>8996850</v>
      </c>
      <c r="U96" s="2">
        <v>68079</v>
      </c>
      <c r="V96" s="2">
        <v>5166</v>
      </c>
      <c r="W96" s="2">
        <v>-2283.75</v>
      </c>
      <c r="X96" s="2">
        <v>2284.5500000000002</v>
      </c>
      <c r="Y96" s="2">
        <v>0.59398452259806911</v>
      </c>
      <c r="Z96" s="2">
        <v>3.323478801550627E-3</v>
      </c>
      <c r="AA96" s="2">
        <v>1.2581525596593911E-5</v>
      </c>
      <c r="AB96" s="2">
        <v>2.3997239781178539E-3</v>
      </c>
      <c r="AC96" s="2">
        <v>-3.7370041066461406</v>
      </c>
      <c r="AD96" s="2">
        <v>0.13468204980798365</v>
      </c>
      <c r="AE96" s="2">
        <v>27000</v>
      </c>
      <c r="AF96" s="2" t="s">
        <v>343</v>
      </c>
      <c r="AG96" s="2">
        <v>2255.25</v>
      </c>
      <c r="AH96" s="2">
        <v>-61</v>
      </c>
      <c r="AI96" s="2">
        <v>75</v>
      </c>
      <c r="AJ96" s="8">
        <v>45929.567384259259</v>
      </c>
      <c r="AK96" s="2">
        <v>10500</v>
      </c>
      <c r="AL96" s="2">
        <v>9375</v>
      </c>
      <c r="AM96" s="2">
        <v>2256.11</v>
      </c>
      <c r="AN96" s="2">
        <v>2266.8000000000002</v>
      </c>
      <c r="AO96" s="2">
        <v>2353.25</v>
      </c>
      <c r="AP96" s="2">
        <v>2160</v>
      </c>
      <c r="AQ96" s="2">
        <v>2247.4</v>
      </c>
      <c r="AR96" s="2">
        <v>2252.6999999999998</v>
      </c>
      <c r="AS96" s="2">
        <v>2316.25</v>
      </c>
      <c r="AT96" s="2">
        <v>122325</v>
      </c>
      <c r="AU96" s="2">
        <v>6466</v>
      </c>
      <c r="AV96" s="2">
        <v>-679</v>
      </c>
      <c r="AW96" s="2">
        <v>2283.75</v>
      </c>
      <c r="AX96" s="2">
        <v>-28.5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F96" s="2"/>
      <c r="BG96" s="2"/>
      <c r="BH96" s="2"/>
    </row>
    <row r="97" spans="1:60" x14ac:dyDescent="0.2">
      <c r="A97" s="2" t="s">
        <v>219</v>
      </c>
      <c r="B97" s="2"/>
      <c r="C97" s="2"/>
      <c r="E97" s="2">
        <v>27050</v>
      </c>
      <c r="F97" s="2" t="s">
        <v>342</v>
      </c>
      <c r="G97" s="2">
        <v>0.8</v>
      </c>
      <c r="H97" s="2">
        <v>-0.30000000000000004</v>
      </c>
      <c r="I97" s="2">
        <v>75</v>
      </c>
      <c r="J97" s="8">
        <v>45929.568703703706</v>
      </c>
      <c r="K97" s="2">
        <v>4326675</v>
      </c>
      <c r="L97" s="2">
        <v>344250</v>
      </c>
      <c r="M97" s="2">
        <v>0.76</v>
      </c>
      <c r="N97" s="2">
        <v>1</v>
      </c>
      <c r="O97" s="2">
        <v>1</v>
      </c>
      <c r="P97" s="2">
        <v>0.6</v>
      </c>
      <c r="Q97" s="2">
        <v>0.7</v>
      </c>
      <c r="R97" s="2">
        <v>0.75</v>
      </c>
      <c r="S97" s="2">
        <v>1.1000000000000001</v>
      </c>
      <c r="T97" s="2">
        <v>1448400</v>
      </c>
      <c r="U97" s="2">
        <v>3988</v>
      </c>
      <c r="V97" s="2">
        <v>883</v>
      </c>
      <c r="W97" s="2">
        <v>-2333.75</v>
      </c>
      <c r="X97" s="2">
        <v>2334.5500000000002</v>
      </c>
      <c r="Y97" s="2">
        <v>0.60514834672405582</v>
      </c>
      <c r="Z97" s="2">
        <v>3.2675245455565465E-3</v>
      </c>
      <c r="AA97" s="2">
        <v>1.2162296017571554E-5</v>
      </c>
      <c r="AB97" s="2">
        <v>2.3589242430385733E-3</v>
      </c>
      <c r="AC97" s="2">
        <v>-3.7490974376285684</v>
      </c>
      <c r="AD97" s="2">
        <v>0.13264125078297889</v>
      </c>
      <c r="AE97" s="2">
        <v>27050</v>
      </c>
      <c r="AF97" s="2" t="s">
        <v>343</v>
      </c>
      <c r="AG97" s="2">
        <v>1900</v>
      </c>
      <c r="AH97" s="2">
        <v>0</v>
      </c>
      <c r="AI97" s="2">
        <v>75</v>
      </c>
      <c r="AJ97" s="8">
        <v>45912.391331018516</v>
      </c>
      <c r="AK97" s="2">
        <v>11175</v>
      </c>
      <c r="AL97" s="2">
        <v>11775</v>
      </c>
      <c r="AM97" s="2">
        <v>0</v>
      </c>
      <c r="AN97" s="2">
        <v>0</v>
      </c>
      <c r="AO97" s="2">
        <v>0</v>
      </c>
      <c r="AP97" s="2">
        <v>0</v>
      </c>
      <c r="AQ97" s="2">
        <v>2273.15</v>
      </c>
      <c r="AR97" s="2">
        <v>2336.4499999999998</v>
      </c>
      <c r="AS97" s="2">
        <v>1900</v>
      </c>
      <c r="AT97" s="2">
        <v>0</v>
      </c>
      <c r="AU97" s="2">
        <v>10</v>
      </c>
      <c r="AV97" s="2">
        <v>0</v>
      </c>
      <c r="AW97" s="2">
        <v>2333.75</v>
      </c>
      <c r="AX97" s="2">
        <v>-433.75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F97" s="2"/>
      <c r="BG97" s="2"/>
      <c r="BH97" s="2"/>
    </row>
    <row r="98" spans="1:60" x14ac:dyDescent="0.2">
      <c r="A98" s="2" t="s">
        <v>220</v>
      </c>
      <c r="B98" s="2"/>
      <c r="C98" s="2"/>
      <c r="E98" s="2">
        <v>27100</v>
      </c>
      <c r="F98" s="2" t="s">
        <v>342</v>
      </c>
      <c r="G98" s="2">
        <v>0.7</v>
      </c>
      <c r="H98" s="2">
        <v>-0.30000000000000004</v>
      </c>
      <c r="I98" s="2">
        <v>75</v>
      </c>
      <c r="J98" s="8">
        <v>45929.568912037037</v>
      </c>
      <c r="K98" s="2">
        <v>5436075</v>
      </c>
      <c r="L98" s="2">
        <v>339900</v>
      </c>
      <c r="M98" s="2">
        <v>0.73</v>
      </c>
      <c r="N98" s="2">
        <v>1</v>
      </c>
      <c r="O98" s="2">
        <v>1</v>
      </c>
      <c r="P98" s="2">
        <v>0.55000000000000004</v>
      </c>
      <c r="Q98" s="2">
        <v>0.7</v>
      </c>
      <c r="R98" s="2">
        <v>0.75</v>
      </c>
      <c r="S98" s="2">
        <v>1</v>
      </c>
      <c r="T98" s="2">
        <v>658950</v>
      </c>
      <c r="U98" s="2">
        <v>3086</v>
      </c>
      <c r="V98" s="2">
        <v>853</v>
      </c>
      <c r="W98" s="2">
        <v>-2383.75</v>
      </c>
      <c r="X98" s="2">
        <v>2384.4499999999998</v>
      </c>
      <c r="Y98" s="2">
        <v>0.60823174001644698</v>
      </c>
      <c r="Z98" s="2">
        <v>2.8759542174284303E-3</v>
      </c>
      <c r="AA98" s="2">
        <v>1.0786546505446288E-5</v>
      </c>
      <c r="AB98" s="2">
        <v>2.0763597860084986E-3</v>
      </c>
      <c r="AC98" s="2">
        <v>-3.3586401720953676</v>
      </c>
      <c r="AD98" s="2">
        <v>0.11823681064663767</v>
      </c>
      <c r="AE98" s="2">
        <v>27100</v>
      </c>
      <c r="AF98" s="2" t="s">
        <v>343</v>
      </c>
      <c r="AG98" s="2">
        <v>2388.75</v>
      </c>
      <c r="AH98" s="2">
        <v>338.75</v>
      </c>
      <c r="AI98" s="2">
        <v>75</v>
      </c>
      <c r="AJ98" s="8">
        <v>45929.500625000001</v>
      </c>
      <c r="AK98" s="2">
        <v>9450</v>
      </c>
      <c r="AL98" s="2">
        <v>10200</v>
      </c>
      <c r="AM98" s="2">
        <v>2388.75</v>
      </c>
      <c r="AN98" s="2">
        <v>2388.75</v>
      </c>
      <c r="AO98" s="2">
        <v>2388.75</v>
      </c>
      <c r="AP98" s="2">
        <v>2388.75</v>
      </c>
      <c r="AQ98" s="2">
        <v>2336.3000000000002</v>
      </c>
      <c r="AR98" s="2">
        <v>2356.9499999999998</v>
      </c>
      <c r="AS98" s="2">
        <v>2050</v>
      </c>
      <c r="AT98" s="2">
        <v>75</v>
      </c>
      <c r="AU98" s="2">
        <v>8</v>
      </c>
      <c r="AV98" s="2">
        <v>0</v>
      </c>
      <c r="AW98" s="2">
        <v>2383.75</v>
      </c>
      <c r="AX98" s="2">
        <v>5</v>
      </c>
      <c r="AY98" s="2">
        <v>0.88026701992569911</v>
      </c>
      <c r="AZ98" s="2">
        <v>-0.97099811781231471</v>
      </c>
      <c r="BA98" s="2">
        <v>5.5983850020850212E-5</v>
      </c>
      <c r="BB98" s="2">
        <v>-0.77847664732111921</v>
      </c>
      <c r="BC98" s="2">
        <v>-29.072642695706715</v>
      </c>
      <c r="BD98" s="2">
        <v>0.88813393798329077</v>
      </c>
      <c r="BF98" s="2"/>
      <c r="BG98" s="2"/>
      <c r="BH98" s="2"/>
    </row>
    <row r="99" spans="1:60" x14ac:dyDescent="0.2">
      <c r="A99" s="2" t="s">
        <v>221</v>
      </c>
      <c r="B99" s="2"/>
      <c r="C99" s="2"/>
      <c r="E99" s="2">
        <v>27150</v>
      </c>
      <c r="F99" s="2" t="s">
        <v>342</v>
      </c>
      <c r="G99" s="2">
        <v>0.7</v>
      </c>
      <c r="H99" s="2">
        <v>-0.25</v>
      </c>
      <c r="I99" s="2">
        <v>150</v>
      </c>
      <c r="J99" s="8">
        <v>45929.569004629629</v>
      </c>
      <c r="K99" s="2">
        <v>2557575</v>
      </c>
      <c r="L99" s="2">
        <v>292725</v>
      </c>
      <c r="M99" s="2">
        <v>0.69</v>
      </c>
      <c r="N99" s="2">
        <v>1</v>
      </c>
      <c r="O99" s="2">
        <v>1</v>
      </c>
      <c r="P99" s="2">
        <v>0.55000000000000004</v>
      </c>
      <c r="Q99" s="2">
        <v>0.65</v>
      </c>
      <c r="R99" s="2">
        <v>0.7</v>
      </c>
      <c r="S99" s="2">
        <v>0.95</v>
      </c>
      <c r="T99" s="2">
        <v>465750</v>
      </c>
      <c r="U99" s="2">
        <v>2536</v>
      </c>
      <c r="V99" s="2">
        <v>-43</v>
      </c>
      <c r="W99" s="2">
        <v>-2433.75</v>
      </c>
      <c r="X99" s="2">
        <v>2434.4499999999998</v>
      </c>
      <c r="Y99" s="2">
        <v>0.61919468008502165</v>
      </c>
      <c r="Z99" s="2">
        <v>2.8294032113150213E-3</v>
      </c>
      <c r="AA99" s="2">
        <v>1.0440764835693919E-5</v>
      </c>
      <c r="AB99" s="2">
        <v>2.0424174451940131E-3</v>
      </c>
      <c r="AC99" s="2">
        <v>-3.3688461580145761</v>
      </c>
      <c r="AD99" s="2">
        <v>0.11650936494656074</v>
      </c>
      <c r="AE99" s="2">
        <v>27150</v>
      </c>
      <c r="AF99" s="2" t="s">
        <v>343</v>
      </c>
      <c r="AG99" s="2">
        <v>1765</v>
      </c>
      <c r="AH99" s="2">
        <v>0</v>
      </c>
      <c r="AI99" s="2">
        <v>75</v>
      </c>
      <c r="AJ99" s="8">
        <v>45917.393576388888</v>
      </c>
      <c r="AK99" s="2">
        <v>8400</v>
      </c>
      <c r="AL99" s="2">
        <v>10650</v>
      </c>
      <c r="AM99" s="2">
        <v>0</v>
      </c>
      <c r="AN99" s="2">
        <v>0</v>
      </c>
      <c r="AO99" s="2">
        <v>0</v>
      </c>
      <c r="AP99" s="2">
        <v>0</v>
      </c>
      <c r="AQ99" s="2">
        <v>2390.6999999999998</v>
      </c>
      <c r="AR99" s="2">
        <v>2418.35</v>
      </c>
      <c r="AS99" s="2">
        <v>1765</v>
      </c>
      <c r="AT99" s="2">
        <v>0</v>
      </c>
      <c r="AU99" s="2">
        <v>16</v>
      </c>
      <c r="AV99" s="2">
        <v>0</v>
      </c>
      <c r="AW99" s="2">
        <v>2433.75</v>
      </c>
      <c r="AX99" s="2">
        <v>-668.75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F99" s="2"/>
      <c r="BG99" s="2"/>
      <c r="BH99" s="2"/>
    </row>
    <row r="100" spans="1:60" x14ac:dyDescent="0.2">
      <c r="A100" s="2" t="s">
        <v>222</v>
      </c>
      <c r="B100" s="2"/>
      <c r="C100" s="2"/>
      <c r="E100" s="2">
        <v>27200</v>
      </c>
      <c r="F100" s="2" t="s">
        <v>342</v>
      </c>
      <c r="G100" s="2">
        <v>0.7</v>
      </c>
      <c r="H100" s="2">
        <v>-0.20000000000000007</v>
      </c>
      <c r="I100" s="2">
        <v>75</v>
      </c>
      <c r="J100" s="8">
        <v>45929.566319444442</v>
      </c>
      <c r="K100" s="2">
        <v>5235000</v>
      </c>
      <c r="L100" s="2">
        <v>352125</v>
      </c>
      <c r="M100" s="2">
        <v>0.64</v>
      </c>
      <c r="N100" s="2">
        <v>0.8</v>
      </c>
      <c r="O100" s="2">
        <v>0.8</v>
      </c>
      <c r="P100" s="2">
        <v>0.5</v>
      </c>
      <c r="Q100" s="2">
        <v>0.65</v>
      </c>
      <c r="R100" s="2">
        <v>0.7</v>
      </c>
      <c r="S100" s="2">
        <v>0.9</v>
      </c>
      <c r="T100" s="2">
        <v>794325</v>
      </c>
      <c r="U100" s="2">
        <v>5039</v>
      </c>
      <c r="V100" s="2">
        <v>-599</v>
      </c>
      <c r="W100" s="2">
        <v>-2483.75</v>
      </c>
      <c r="X100" s="2">
        <v>2484.4499999999998</v>
      </c>
      <c r="Y100" s="2">
        <v>0.6301185050086231</v>
      </c>
      <c r="Z100" s="2">
        <v>2.7845587009068073E-3</v>
      </c>
      <c r="AA100" s="2">
        <v>1.0112941358598069E-5</v>
      </c>
      <c r="AB100" s="2">
        <v>2.009718531411533E-3</v>
      </c>
      <c r="AC100" s="2">
        <v>-3.3788573210853814</v>
      </c>
      <c r="AD100" s="2">
        <v>0.11484205127714744</v>
      </c>
      <c r="AE100" s="2">
        <v>27200</v>
      </c>
      <c r="AF100" s="2" t="s">
        <v>343</v>
      </c>
      <c r="AG100" s="2">
        <v>2439</v>
      </c>
      <c r="AH100" s="2">
        <v>51.75</v>
      </c>
      <c r="AI100" s="2">
        <v>75</v>
      </c>
      <c r="AJ100" s="8">
        <v>45929.480324074073</v>
      </c>
      <c r="AK100" s="2">
        <v>10875</v>
      </c>
      <c r="AL100" s="2">
        <v>11700</v>
      </c>
      <c r="AM100" s="2">
        <v>2412.19</v>
      </c>
      <c r="AN100" s="2">
        <v>2387.25</v>
      </c>
      <c r="AO100" s="2">
        <v>2439</v>
      </c>
      <c r="AP100" s="2">
        <v>2387.25</v>
      </c>
      <c r="AQ100" s="2">
        <v>2443.5</v>
      </c>
      <c r="AR100" s="2">
        <v>2462.4499999999998</v>
      </c>
      <c r="AS100" s="2">
        <v>2387.25</v>
      </c>
      <c r="AT100" s="2">
        <v>600</v>
      </c>
      <c r="AU100" s="2">
        <v>27</v>
      </c>
      <c r="AV100" s="2">
        <v>-5</v>
      </c>
      <c r="AW100" s="2">
        <v>2483.75</v>
      </c>
      <c r="AX100" s="2">
        <v>-44.75</v>
      </c>
      <c r="AY100" s="2">
        <v>0</v>
      </c>
      <c r="AZ100" s="2">
        <v>0</v>
      </c>
      <c r="BA100" s="2">
        <v>0</v>
      </c>
      <c r="BB100" s="2">
        <v>0</v>
      </c>
      <c r="BC100" s="2">
        <v>0</v>
      </c>
      <c r="BD100" s="2">
        <v>0</v>
      </c>
      <c r="BF100" s="2"/>
      <c r="BG100" s="2"/>
      <c r="BH100" s="2"/>
    </row>
    <row r="101" spans="1:60" x14ac:dyDescent="0.2">
      <c r="A101" s="2" t="s">
        <v>223</v>
      </c>
      <c r="B101" s="2"/>
      <c r="C101" s="2"/>
      <c r="E101" s="2">
        <v>27250</v>
      </c>
      <c r="F101" s="2" t="s">
        <v>342</v>
      </c>
      <c r="G101" s="2">
        <v>0.65</v>
      </c>
      <c r="H101" s="2">
        <v>-0.25</v>
      </c>
      <c r="I101" s="2">
        <v>225</v>
      </c>
      <c r="J101" s="8">
        <v>45929.568333333336</v>
      </c>
      <c r="K101" s="2">
        <v>1203075</v>
      </c>
      <c r="L101" s="2">
        <v>95475</v>
      </c>
      <c r="M101" s="2">
        <v>0.64</v>
      </c>
      <c r="N101" s="2">
        <v>0.85</v>
      </c>
      <c r="O101" s="2">
        <v>1</v>
      </c>
      <c r="P101" s="2">
        <v>0.5</v>
      </c>
      <c r="Q101" s="2">
        <v>0.65</v>
      </c>
      <c r="R101" s="2">
        <v>0.75</v>
      </c>
      <c r="S101" s="2">
        <v>0.9</v>
      </c>
      <c r="T101" s="2">
        <v>271500</v>
      </c>
      <c r="U101" s="2">
        <v>804</v>
      </c>
      <c r="V101" s="2">
        <v>21</v>
      </c>
      <c r="W101" s="2">
        <v>-2533.75</v>
      </c>
      <c r="X101" s="2">
        <v>2534.4</v>
      </c>
      <c r="Y101" s="2">
        <v>0.63646366170128388</v>
      </c>
      <c r="Z101" s="2">
        <v>2.5767872406398692E-3</v>
      </c>
      <c r="AA101" s="2">
        <v>9.3349973303205434E-6</v>
      </c>
      <c r="AB101" s="2">
        <v>1.859696980529993E-3</v>
      </c>
      <c r="AC101" s="2">
        <v>-3.1817607918030562</v>
      </c>
      <c r="AD101" s="2">
        <v>0.10707526643794499</v>
      </c>
      <c r="AE101" s="2">
        <v>27250</v>
      </c>
      <c r="AF101" s="2" t="s">
        <v>343</v>
      </c>
      <c r="AG101" s="2">
        <v>2280</v>
      </c>
      <c r="AH101" s="2">
        <v>0</v>
      </c>
      <c r="AI101" s="2">
        <v>225</v>
      </c>
      <c r="AJ101" s="8">
        <v>45925.626504629632</v>
      </c>
      <c r="AK101" s="2">
        <v>10950</v>
      </c>
      <c r="AL101" s="2">
        <v>9750</v>
      </c>
      <c r="AM101" s="2">
        <v>0</v>
      </c>
      <c r="AN101" s="2">
        <v>0</v>
      </c>
      <c r="AO101" s="2">
        <v>0</v>
      </c>
      <c r="AP101" s="2">
        <v>0</v>
      </c>
      <c r="AQ101" s="2">
        <v>2482.8000000000002</v>
      </c>
      <c r="AR101" s="2">
        <v>2647.35</v>
      </c>
      <c r="AS101" s="2">
        <v>2280</v>
      </c>
      <c r="AT101" s="2">
        <v>0</v>
      </c>
      <c r="AU101" s="2">
        <v>9</v>
      </c>
      <c r="AV101" s="2">
        <v>0</v>
      </c>
      <c r="AW101" s="2">
        <v>2533.75</v>
      </c>
      <c r="AX101" s="2">
        <v>-253.75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F101" s="2"/>
      <c r="BG101" s="2"/>
      <c r="BH101" s="2"/>
    </row>
    <row r="102" spans="1:60" x14ac:dyDescent="0.2">
      <c r="A102" s="2" t="s">
        <v>224</v>
      </c>
      <c r="B102" s="2"/>
      <c r="C102" s="2"/>
      <c r="E102" s="2">
        <v>27300</v>
      </c>
      <c r="F102" s="2" t="s">
        <v>342</v>
      </c>
      <c r="G102" s="2">
        <v>0.6</v>
      </c>
      <c r="H102" s="2">
        <v>-0.25</v>
      </c>
      <c r="I102" s="2">
        <v>225</v>
      </c>
      <c r="J102" s="8">
        <v>45929.568043981482</v>
      </c>
      <c r="K102" s="2">
        <v>6046500</v>
      </c>
      <c r="L102" s="2">
        <v>639300</v>
      </c>
      <c r="M102" s="2">
        <v>0.59</v>
      </c>
      <c r="N102" s="2">
        <v>0.7</v>
      </c>
      <c r="O102" s="2">
        <v>0.75</v>
      </c>
      <c r="P102" s="2">
        <v>0.45</v>
      </c>
      <c r="Q102" s="2">
        <v>0.55000000000000004</v>
      </c>
      <c r="R102" s="2">
        <v>0.6</v>
      </c>
      <c r="S102" s="2">
        <v>0.85</v>
      </c>
      <c r="T102" s="2">
        <v>1435050</v>
      </c>
      <c r="U102" s="2">
        <v>6143</v>
      </c>
      <c r="V102" s="2">
        <v>-544</v>
      </c>
      <c r="W102" s="2">
        <v>-2583.75</v>
      </c>
      <c r="X102" s="2">
        <v>2584.35</v>
      </c>
      <c r="Y102" s="2">
        <v>0.64236801757220918</v>
      </c>
      <c r="Z102" s="2">
        <v>2.3730055915919326E-3</v>
      </c>
      <c r="AA102" s="2">
        <v>8.5850797491392923E-6</v>
      </c>
      <c r="AB102" s="2">
        <v>1.712583802827663E-3</v>
      </c>
      <c r="AC102" s="2">
        <v>-2.9804250653933213</v>
      </c>
      <c r="AD102" s="2">
        <v>9.9386992431934995E-2</v>
      </c>
      <c r="AE102" s="2">
        <v>27300</v>
      </c>
      <c r="AF102" s="2" t="s">
        <v>343</v>
      </c>
      <c r="AG102" s="2">
        <v>2683.05</v>
      </c>
      <c r="AH102" s="2">
        <v>393.20000000000027</v>
      </c>
      <c r="AI102" s="2">
        <v>75</v>
      </c>
      <c r="AJ102" s="8">
        <v>45929.440798611111</v>
      </c>
      <c r="AK102" s="2">
        <v>10650</v>
      </c>
      <c r="AL102" s="2">
        <v>10425</v>
      </c>
      <c r="AM102" s="2">
        <v>2683.05</v>
      </c>
      <c r="AN102" s="2">
        <v>2683.05</v>
      </c>
      <c r="AO102" s="2">
        <v>2683.05</v>
      </c>
      <c r="AP102" s="2">
        <v>2683.05</v>
      </c>
      <c r="AQ102" s="2">
        <v>2535.65</v>
      </c>
      <c r="AR102" s="2">
        <v>2558.85</v>
      </c>
      <c r="AS102" s="2">
        <v>2289.85</v>
      </c>
      <c r="AT102" s="2">
        <v>75</v>
      </c>
      <c r="AU102" s="2">
        <v>12</v>
      </c>
      <c r="AV102" s="2">
        <v>0</v>
      </c>
      <c r="AW102" s="2">
        <v>2583.75</v>
      </c>
      <c r="AX102" s="2">
        <v>99.300000000000182</v>
      </c>
      <c r="AY102" s="2">
        <v>1.4724942845771993</v>
      </c>
      <c r="AZ102" s="2">
        <v>-0.88482991905744024</v>
      </c>
      <c r="BA102" s="2">
        <v>9.8295378824936853E-5</v>
      </c>
      <c r="BB102" s="2">
        <v>-0.72432905039330731</v>
      </c>
      <c r="BC102" s="2">
        <v>-171.62713543780447</v>
      </c>
      <c r="BD102" s="2">
        <v>2.6084831600088001</v>
      </c>
      <c r="BF102" s="2"/>
      <c r="BG102" s="2"/>
      <c r="BH102" s="2"/>
    </row>
    <row r="103" spans="1:60" x14ac:dyDescent="0.2">
      <c r="A103" s="2" t="s">
        <v>225</v>
      </c>
      <c r="B103" s="2"/>
      <c r="C103" s="2"/>
      <c r="E103" s="2">
        <v>27350</v>
      </c>
      <c r="F103" s="2" t="s">
        <v>342</v>
      </c>
      <c r="G103" s="2">
        <v>0.65</v>
      </c>
      <c r="H103" s="2">
        <v>-0.25</v>
      </c>
      <c r="I103" s="2">
        <v>75</v>
      </c>
      <c r="J103" s="8">
        <v>45929.56826388889</v>
      </c>
      <c r="K103" s="2">
        <v>4432425</v>
      </c>
      <c r="L103" s="2">
        <v>216675</v>
      </c>
      <c r="M103" s="2">
        <v>0.57999999999999996</v>
      </c>
      <c r="N103" s="2">
        <v>0.75</v>
      </c>
      <c r="O103" s="2">
        <v>0.8</v>
      </c>
      <c r="P103" s="2">
        <v>0.45</v>
      </c>
      <c r="Q103" s="2">
        <v>0.6</v>
      </c>
      <c r="R103" s="2">
        <v>0.65</v>
      </c>
      <c r="S103" s="2">
        <v>0.9</v>
      </c>
      <c r="T103" s="2">
        <v>549675</v>
      </c>
      <c r="U103" s="2">
        <v>2277</v>
      </c>
      <c r="V103" s="2">
        <v>-568</v>
      </c>
      <c r="W103" s="2">
        <v>-2633.75</v>
      </c>
      <c r="X103" s="2">
        <v>2634.4</v>
      </c>
      <c r="Y103" s="2">
        <v>0.65799390759980292</v>
      </c>
      <c r="Z103" s="2">
        <v>2.4995734842673425E-3</v>
      </c>
      <c r="AA103" s="2">
        <v>8.7846050384409056E-6</v>
      </c>
      <c r="AB103" s="2">
        <v>1.8033957181045719E-3</v>
      </c>
      <c r="AC103" s="2">
        <v>-3.199540157743213</v>
      </c>
      <c r="AD103" s="2">
        <v>0.10417063681813871</v>
      </c>
      <c r="AE103" s="2">
        <v>27350</v>
      </c>
      <c r="AF103" s="2" t="s">
        <v>343</v>
      </c>
      <c r="AG103" s="2">
        <v>1978.3</v>
      </c>
      <c r="AH103" s="2">
        <v>0</v>
      </c>
      <c r="AI103" s="2">
        <v>75</v>
      </c>
      <c r="AJ103" s="8">
        <v>45922.498356481483</v>
      </c>
      <c r="AK103" s="2">
        <v>10650</v>
      </c>
      <c r="AL103" s="2">
        <v>11250</v>
      </c>
      <c r="AM103" s="2">
        <v>0</v>
      </c>
      <c r="AN103" s="2">
        <v>0</v>
      </c>
      <c r="AO103" s="2">
        <v>0</v>
      </c>
      <c r="AP103" s="2">
        <v>0</v>
      </c>
      <c r="AQ103" s="2">
        <v>2572.6999999999998</v>
      </c>
      <c r="AR103" s="2">
        <v>2636.45</v>
      </c>
      <c r="AS103" s="2">
        <v>1978.3</v>
      </c>
      <c r="AT103" s="2">
        <v>0</v>
      </c>
      <c r="AU103" s="2">
        <v>8</v>
      </c>
      <c r="AV103" s="2">
        <v>0</v>
      </c>
      <c r="AW103" s="2">
        <v>2633.75</v>
      </c>
      <c r="AX103" s="2">
        <v>-655.45</v>
      </c>
      <c r="AY103" s="2">
        <v>0</v>
      </c>
      <c r="AZ103" s="2">
        <v>0</v>
      </c>
      <c r="BA103" s="2">
        <v>0</v>
      </c>
      <c r="BB103" s="2">
        <v>0</v>
      </c>
      <c r="BC103" s="2">
        <v>0</v>
      </c>
      <c r="BD103" s="2">
        <v>0</v>
      </c>
      <c r="BF103" s="2"/>
      <c r="BG103" s="2"/>
      <c r="BH103" s="2"/>
    </row>
    <row r="104" spans="1:60" x14ac:dyDescent="0.2">
      <c r="A104" s="2" t="s">
        <v>226</v>
      </c>
      <c r="B104" s="2"/>
      <c r="C104" s="2"/>
      <c r="E104" s="2">
        <v>27400</v>
      </c>
      <c r="F104" s="2" t="s">
        <v>342</v>
      </c>
      <c r="G104" s="2">
        <v>0.5</v>
      </c>
      <c r="H104" s="2">
        <v>-0.30000000000000004</v>
      </c>
      <c r="I104" s="2">
        <v>150</v>
      </c>
      <c r="J104" s="8">
        <v>45929.56726851852</v>
      </c>
      <c r="K104" s="2">
        <v>11563650</v>
      </c>
      <c r="L104" s="2">
        <v>678975</v>
      </c>
      <c r="M104" s="2">
        <v>0.51</v>
      </c>
      <c r="N104" s="2">
        <v>0.7</v>
      </c>
      <c r="O104" s="2">
        <v>0.7</v>
      </c>
      <c r="P104" s="2">
        <v>0.4</v>
      </c>
      <c r="Q104" s="2">
        <v>0.5</v>
      </c>
      <c r="R104" s="2">
        <v>0.55000000000000004</v>
      </c>
      <c r="S104" s="2">
        <v>0.8</v>
      </c>
      <c r="T104" s="2">
        <v>3385950</v>
      </c>
      <c r="U104" s="2">
        <v>19525</v>
      </c>
      <c r="V104" s="2">
        <v>-643</v>
      </c>
      <c r="W104" s="2">
        <v>-2683.75</v>
      </c>
      <c r="X104" s="2">
        <v>2684.25</v>
      </c>
      <c r="Y104" s="2">
        <v>0.65262432454730723</v>
      </c>
      <c r="Z104" s="2">
        <v>1.9757713292680719E-3</v>
      </c>
      <c r="AA104" s="2">
        <v>7.1570205660303226E-6</v>
      </c>
      <c r="AB104" s="2">
        <v>1.4258890065173228E-3</v>
      </c>
      <c r="AC104" s="2">
        <v>-2.5641869936660342</v>
      </c>
      <c r="AD104" s="2">
        <v>8.4177638015456038E-2</v>
      </c>
      <c r="AE104" s="2">
        <v>27400</v>
      </c>
      <c r="AF104" s="2" t="s">
        <v>343</v>
      </c>
      <c r="AG104" s="2">
        <v>2650</v>
      </c>
      <c r="AH104" s="2">
        <v>222</v>
      </c>
      <c r="AI104" s="2">
        <v>75</v>
      </c>
      <c r="AJ104" s="8">
        <v>45929.563402777778</v>
      </c>
      <c r="AK104" s="2">
        <v>11025</v>
      </c>
      <c r="AL104" s="2">
        <v>11925</v>
      </c>
      <c r="AM104" s="2">
        <v>2663.44</v>
      </c>
      <c r="AN104" s="2">
        <v>2590</v>
      </c>
      <c r="AO104" s="2">
        <v>2750</v>
      </c>
      <c r="AP104" s="2">
        <v>2571.1</v>
      </c>
      <c r="AQ104" s="2">
        <v>2633.8</v>
      </c>
      <c r="AR104" s="2">
        <v>2654.55</v>
      </c>
      <c r="AS104" s="2">
        <v>2428</v>
      </c>
      <c r="AT104" s="2">
        <v>6750</v>
      </c>
      <c r="AU104" s="2">
        <v>77</v>
      </c>
      <c r="AV104" s="2">
        <v>-80</v>
      </c>
      <c r="AW104" s="2">
        <v>2683.75</v>
      </c>
      <c r="AX104" s="2">
        <v>-33.75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F104" s="2"/>
      <c r="BG104" s="2"/>
      <c r="BH104" s="2"/>
    </row>
    <row r="105" spans="1:60" x14ac:dyDescent="0.2">
      <c r="A105" s="2" t="s">
        <v>227</v>
      </c>
      <c r="B105" s="2"/>
      <c r="C105" s="2"/>
      <c r="E105" s="2">
        <v>28000</v>
      </c>
      <c r="F105" s="2" t="s">
        <v>342</v>
      </c>
      <c r="G105" s="2">
        <v>0.55000000000000004</v>
      </c>
      <c r="H105" s="2">
        <v>-0.25</v>
      </c>
      <c r="I105" s="2">
        <v>150</v>
      </c>
      <c r="J105" s="8">
        <v>45929.568437499998</v>
      </c>
      <c r="K105" s="2">
        <v>8718375</v>
      </c>
      <c r="L105" s="2">
        <v>288000</v>
      </c>
      <c r="M105" s="2">
        <v>0.51</v>
      </c>
      <c r="N105" s="2">
        <v>0.5</v>
      </c>
      <c r="O105" s="2">
        <v>0.65</v>
      </c>
      <c r="P105" s="2">
        <v>0.4</v>
      </c>
      <c r="Q105" s="2">
        <v>0.55000000000000004</v>
      </c>
      <c r="R105" s="2">
        <v>0.6</v>
      </c>
      <c r="S105" s="2">
        <v>0.8</v>
      </c>
      <c r="T105" s="2">
        <v>776400</v>
      </c>
      <c r="U105" s="2">
        <v>8288</v>
      </c>
      <c r="V105" s="2">
        <v>-508</v>
      </c>
      <c r="W105" s="2">
        <v>-3283.75</v>
      </c>
      <c r="X105" s="2">
        <v>3284.3</v>
      </c>
      <c r="Y105" s="2">
        <v>0.7825812432098711</v>
      </c>
      <c r="Z105" s="2">
        <v>1.8271694390995356E-3</v>
      </c>
      <c r="AA105" s="2">
        <v>5.55914436130718E-6</v>
      </c>
      <c r="AB105" s="2">
        <v>1.3160608289208284E-3</v>
      </c>
      <c r="AC105" s="2">
        <v>-2.8613314929156637</v>
      </c>
      <c r="AD105" s="2">
        <v>7.8404091036395437E-2</v>
      </c>
      <c r="AE105" s="2">
        <v>28000</v>
      </c>
      <c r="AF105" s="2" t="s">
        <v>343</v>
      </c>
      <c r="AG105" s="2">
        <v>3260</v>
      </c>
      <c r="AH105" s="2">
        <v>-45.150000000000091</v>
      </c>
      <c r="AI105" s="2">
        <v>75</v>
      </c>
      <c r="AJ105" s="8">
        <v>45929.566377314812</v>
      </c>
      <c r="AK105" s="2">
        <v>10050</v>
      </c>
      <c r="AL105" s="2">
        <v>10725</v>
      </c>
      <c r="AM105" s="2">
        <v>3256.05</v>
      </c>
      <c r="AN105" s="2">
        <v>3270</v>
      </c>
      <c r="AO105" s="2">
        <v>3354.45</v>
      </c>
      <c r="AP105" s="2">
        <v>3164.9</v>
      </c>
      <c r="AQ105" s="2">
        <v>3245.8</v>
      </c>
      <c r="AR105" s="2">
        <v>3257.4</v>
      </c>
      <c r="AS105" s="2">
        <v>3305.15</v>
      </c>
      <c r="AT105" s="2">
        <v>56700</v>
      </c>
      <c r="AU105" s="2">
        <v>1876</v>
      </c>
      <c r="AV105" s="2">
        <v>-523</v>
      </c>
      <c r="AW105" s="2">
        <v>3283.75</v>
      </c>
      <c r="AX105" s="2">
        <v>-23.75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F105" s="2"/>
      <c r="BG105" s="2"/>
      <c r="BH105" s="2"/>
    </row>
    <row r="106" spans="1:60" x14ac:dyDescent="0.2">
      <c r="A106" s="2" t="s">
        <v>228</v>
      </c>
      <c r="B106" s="2"/>
      <c r="C106" s="2"/>
      <c r="E106" s="2">
        <v>29000</v>
      </c>
      <c r="F106" s="2" t="s">
        <v>342</v>
      </c>
      <c r="G106" s="2">
        <v>0.45</v>
      </c>
      <c r="H106" s="2">
        <v>-0.2</v>
      </c>
      <c r="I106" s="2">
        <v>75</v>
      </c>
      <c r="J106" s="8">
        <v>45929.568888888891</v>
      </c>
      <c r="K106" s="2">
        <v>6444375</v>
      </c>
      <c r="L106" s="2">
        <v>506175</v>
      </c>
      <c r="M106" s="2">
        <v>0.43</v>
      </c>
      <c r="N106" s="2">
        <v>0.5</v>
      </c>
      <c r="O106" s="2">
        <v>0.6</v>
      </c>
      <c r="P106" s="2">
        <v>0.35</v>
      </c>
      <c r="Q106" s="2">
        <v>0.4</v>
      </c>
      <c r="R106" s="2">
        <v>0.45</v>
      </c>
      <c r="S106" s="2">
        <v>0.65</v>
      </c>
      <c r="T106" s="2">
        <v>1345050</v>
      </c>
      <c r="U106" s="2">
        <v>6652</v>
      </c>
      <c r="V106" s="2">
        <v>-1053</v>
      </c>
      <c r="W106" s="2">
        <v>-4283.75</v>
      </c>
      <c r="X106" s="2">
        <v>4284.2</v>
      </c>
      <c r="Y106" s="2">
        <v>0.96344506209046354</v>
      </c>
      <c r="Z106" s="2">
        <v>1.2530536855709256E-3</v>
      </c>
      <c r="AA106" s="2">
        <v>3.2010853882158829E-6</v>
      </c>
      <c r="AB106" s="2">
        <v>9.0039232710125371E-4</v>
      </c>
      <c r="AC106" s="2">
        <v>-2.4948905123294107</v>
      </c>
      <c r="AD106" s="2">
        <v>5.5580879397828444E-2</v>
      </c>
      <c r="AE106" s="2">
        <v>29000</v>
      </c>
      <c r="AF106" s="2" t="s">
        <v>343</v>
      </c>
      <c r="AG106" s="2">
        <v>4254.5</v>
      </c>
      <c r="AH106" s="2">
        <v>-59.550000000000182</v>
      </c>
      <c r="AI106" s="2">
        <v>75</v>
      </c>
      <c r="AJ106" s="8">
        <v>45929.568888888891</v>
      </c>
      <c r="AK106" s="2">
        <v>9150</v>
      </c>
      <c r="AL106" s="2">
        <v>9300</v>
      </c>
      <c r="AM106" s="2">
        <v>4227.1899999999996</v>
      </c>
      <c r="AN106" s="2">
        <v>4278.3999999999996</v>
      </c>
      <c r="AO106" s="2">
        <v>4354</v>
      </c>
      <c r="AP106" s="2">
        <v>4165</v>
      </c>
      <c r="AQ106" s="2">
        <v>4248.8999999999996</v>
      </c>
      <c r="AR106" s="2">
        <v>4252.3</v>
      </c>
      <c r="AS106" s="2">
        <v>4314.05</v>
      </c>
      <c r="AT106" s="2">
        <v>111075</v>
      </c>
      <c r="AU106" s="2">
        <v>2629</v>
      </c>
      <c r="AV106" s="2">
        <v>-931</v>
      </c>
      <c r="AW106" s="2">
        <v>4283.75</v>
      </c>
      <c r="AX106" s="2">
        <v>-29.25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F106" s="2"/>
      <c r="BG106" s="2"/>
      <c r="BH106" s="2"/>
    </row>
    <row r="107" spans="1:60" x14ac:dyDescent="0.2">
      <c r="A107" s="2" t="s">
        <v>229</v>
      </c>
      <c r="B107" s="2"/>
      <c r="C107" s="2"/>
      <c r="E107" s="2">
        <v>30000</v>
      </c>
      <c r="F107" s="2" t="s">
        <v>342</v>
      </c>
      <c r="G107" s="2">
        <v>0.3</v>
      </c>
      <c r="H107" s="2">
        <v>-0.2</v>
      </c>
      <c r="I107" s="2">
        <v>75</v>
      </c>
      <c r="J107" s="8">
        <v>45929.568680555552</v>
      </c>
      <c r="K107" s="2">
        <v>10946700</v>
      </c>
      <c r="L107" s="2">
        <v>1318875</v>
      </c>
      <c r="M107" s="2">
        <v>0.37</v>
      </c>
      <c r="N107" s="2">
        <v>0.45</v>
      </c>
      <c r="O107" s="2">
        <v>0.5</v>
      </c>
      <c r="P107" s="2">
        <v>0.3</v>
      </c>
      <c r="Q107" s="2">
        <v>0.3</v>
      </c>
      <c r="R107" s="2">
        <v>0.35</v>
      </c>
      <c r="S107" s="2">
        <v>0.5</v>
      </c>
      <c r="T107" s="2">
        <v>4804650</v>
      </c>
      <c r="U107" s="2">
        <v>10064</v>
      </c>
      <c r="V107" s="2">
        <v>-2757</v>
      </c>
      <c r="W107" s="2">
        <v>-5283.75</v>
      </c>
      <c r="X107" s="2">
        <v>5284.05</v>
      </c>
      <c r="Y107" s="2">
        <v>1.1116044319248748</v>
      </c>
      <c r="Z107" s="2">
        <v>7.5247272074132937E-4</v>
      </c>
      <c r="AA107" s="2">
        <v>1.7371308621796864E-6</v>
      </c>
      <c r="AB107" s="2">
        <v>5.39817550869886E-4</v>
      </c>
      <c r="AC107" s="2">
        <v>-1.8012987744075171</v>
      </c>
      <c r="AD107" s="2">
        <v>3.4800391458799235E-2</v>
      </c>
      <c r="AE107" s="2">
        <v>30000</v>
      </c>
      <c r="AF107" s="2" t="s">
        <v>343</v>
      </c>
      <c r="AG107" s="2">
        <v>5255</v>
      </c>
      <c r="AH107" s="2">
        <v>-59.949999999999818</v>
      </c>
      <c r="AI107" s="2">
        <v>75</v>
      </c>
      <c r="AJ107" s="8">
        <v>45929.567187499997</v>
      </c>
      <c r="AK107" s="2">
        <v>7050</v>
      </c>
      <c r="AL107" s="2">
        <v>9000</v>
      </c>
      <c r="AM107" s="2">
        <v>5233.6000000000004</v>
      </c>
      <c r="AN107" s="2">
        <v>5205</v>
      </c>
      <c r="AO107" s="2">
        <v>5333.1</v>
      </c>
      <c r="AP107" s="2">
        <v>5196.3999999999996</v>
      </c>
      <c r="AQ107" s="2">
        <v>5237.1499999999996</v>
      </c>
      <c r="AR107" s="2">
        <v>5266.1</v>
      </c>
      <c r="AS107" s="2">
        <v>5314.95</v>
      </c>
      <c r="AT107" s="2">
        <v>3600</v>
      </c>
      <c r="AU107" s="2">
        <v>282</v>
      </c>
      <c r="AV107" s="2">
        <v>-37</v>
      </c>
      <c r="AW107" s="2">
        <v>5283.75</v>
      </c>
      <c r="AX107" s="2">
        <v>-28.75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F107" s="2"/>
      <c r="BG107" s="2"/>
      <c r="BH107" s="2"/>
    </row>
    <row r="108" spans="1:60" x14ac:dyDescent="0.2">
      <c r="A108" s="2" t="s">
        <v>230</v>
      </c>
      <c r="B108" s="2"/>
      <c r="C108" s="2"/>
      <c r="E108" s="2"/>
      <c r="F108" s="2"/>
      <c r="G108" s="2"/>
      <c r="H108" s="2"/>
      <c r="I108" s="2"/>
      <c r="J108" s="8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8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F108" s="2"/>
      <c r="BG108" s="2"/>
      <c r="BH108" s="2"/>
    </row>
    <row r="109" spans="1:60" x14ac:dyDescent="0.2">
      <c r="A109" s="2" t="s">
        <v>231</v>
      </c>
      <c r="B109" s="2"/>
      <c r="C109" s="2"/>
      <c r="E109" s="2"/>
      <c r="F109" s="2"/>
      <c r="G109" s="2"/>
      <c r="H109" s="2"/>
      <c r="I109" s="2"/>
      <c r="J109" s="8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8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F109" s="2"/>
      <c r="BG109" s="2"/>
      <c r="BH109" s="2"/>
    </row>
    <row r="110" spans="1:60" x14ac:dyDescent="0.2">
      <c r="A110" s="2" t="s">
        <v>232</v>
      </c>
      <c r="B110" s="2"/>
      <c r="C110" s="2"/>
      <c r="E110" s="2"/>
      <c r="F110" s="2"/>
      <c r="G110" s="2"/>
      <c r="H110" s="2"/>
      <c r="I110" s="2"/>
      <c r="J110" s="8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8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F110" s="2"/>
      <c r="BG110" s="2"/>
      <c r="BH110" s="2"/>
    </row>
    <row r="111" spans="1:60" x14ac:dyDescent="0.2">
      <c r="A111" s="2" t="s">
        <v>233</v>
      </c>
      <c r="B111" s="2"/>
      <c r="C111" s="2"/>
      <c r="E111" s="2"/>
      <c r="F111" s="2"/>
      <c r="G111" s="2"/>
      <c r="H111" s="2"/>
      <c r="I111" s="2"/>
      <c r="J111" s="8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8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F111" s="2"/>
      <c r="BG111" s="2"/>
      <c r="BH111" s="2"/>
    </row>
    <row r="112" spans="1:60" x14ac:dyDescent="0.2">
      <c r="A112" s="2" t="s">
        <v>234</v>
      </c>
      <c r="B112" s="2"/>
      <c r="C112" s="2"/>
      <c r="E112" s="2"/>
      <c r="F112" s="2"/>
      <c r="G112" s="2"/>
      <c r="H112" s="2"/>
      <c r="I112" s="2"/>
      <c r="J112" s="8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8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F112" s="2"/>
      <c r="BG112" s="2"/>
      <c r="BH112" s="2"/>
    </row>
    <row r="113" spans="1:60" x14ac:dyDescent="0.2">
      <c r="A113" s="2" t="s">
        <v>235</v>
      </c>
      <c r="B113" s="2"/>
      <c r="C113" s="2"/>
      <c r="E113" s="2"/>
      <c r="F113" s="2"/>
      <c r="G113" s="2"/>
      <c r="H113" s="2"/>
      <c r="I113" s="2"/>
      <c r="J113" s="8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8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F113" s="2"/>
      <c r="BG113" s="2"/>
      <c r="BH113" s="2"/>
    </row>
    <row r="114" spans="1:60" x14ac:dyDescent="0.2">
      <c r="A114" s="2" t="s">
        <v>236</v>
      </c>
      <c r="B114" s="2"/>
      <c r="C114" s="2"/>
      <c r="E114" s="2"/>
      <c r="F114" s="2"/>
      <c r="G114" s="2"/>
      <c r="H114" s="2"/>
      <c r="I114" s="2"/>
      <c r="J114" s="8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8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F114" s="2"/>
      <c r="BG114" s="2"/>
      <c r="BH114" s="2"/>
    </row>
    <row r="115" spans="1:60" x14ac:dyDescent="0.2">
      <c r="A115" s="2" t="s">
        <v>237</v>
      </c>
      <c r="B115" s="2"/>
      <c r="C115" s="2"/>
      <c r="E115" s="2"/>
      <c r="F115" s="2"/>
      <c r="G115" s="2"/>
      <c r="H115" s="2"/>
      <c r="I115" s="2"/>
      <c r="J115" s="8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8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F115" s="2"/>
      <c r="BG115" s="2"/>
      <c r="BH115" s="2"/>
    </row>
    <row r="116" spans="1:60" x14ac:dyDescent="0.2">
      <c r="A116" s="2" t="s">
        <v>238</v>
      </c>
      <c r="B116" s="2"/>
      <c r="C116" s="2"/>
      <c r="E116" s="2"/>
      <c r="F116" s="2"/>
      <c r="G116" s="2"/>
      <c r="H116" s="2"/>
      <c r="I116" s="2"/>
      <c r="J116" s="8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8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F116" s="2"/>
      <c r="BG116" s="2"/>
      <c r="BH116" s="2"/>
    </row>
    <row r="117" spans="1:60" x14ac:dyDescent="0.2">
      <c r="A117" s="2" t="s">
        <v>239</v>
      </c>
      <c r="B117" s="2"/>
      <c r="C117" s="2"/>
      <c r="E117" s="2"/>
      <c r="F117" s="2"/>
      <c r="G117" s="2"/>
      <c r="H117" s="2"/>
      <c r="I117" s="2"/>
      <c r="J117" s="8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8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F117" s="2"/>
      <c r="BG117" s="2"/>
      <c r="BH117" s="2"/>
    </row>
    <row r="118" spans="1:60" x14ac:dyDescent="0.2">
      <c r="A118" s="2" t="s">
        <v>240</v>
      </c>
      <c r="B118" s="2"/>
      <c r="C118" s="2"/>
      <c r="E118" s="2"/>
      <c r="F118" s="2"/>
      <c r="G118" s="2"/>
      <c r="H118" s="2"/>
      <c r="I118" s="2"/>
      <c r="J118" s="8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8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F118" s="2"/>
      <c r="BG118" s="2"/>
      <c r="BH118" s="2"/>
    </row>
    <row r="119" spans="1:60" x14ac:dyDescent="0.2">
      <c r="A119" s="2" t="s">
        <v>241</v>
      </c>
      <c r="B119" s="2"/>
      <c r="C119" s="2"/>
      <c r="E119" s="2"/>
      <c r="F119" s="2"/>
      <c r="G119" s="2"/>
      <c r="H119" s="2"/>
      <c r="I119" s="2"/>
      <c r="J119" s="8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8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F119" s="2"/>
      <c r="BG119" s="2"/>
      <c r="BH119" s="2"/>
    </row>
    <row r="120" spans="1:60" x14ac:dyDescent="0.2">
      <c r="A120" s="2" t="s">
        <v>242</v>
      </c>
      <c r="B120" s="2"/>
      <c r="C120" s="2"/>
      <c r="E120" s="2"/>
      <c r="F120" s="2"/>
      <c r="G120" s="2"/>
      <c r="H120" s="2"/>
      <c r="I120" s="2"/>
      <c r="J120" s="8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8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F120" s="2"/>
      <c r="BG120" s="2"/>
      <c r="BH120" s="2"/>
    </row>
    <row r="121" spans="1:60" x14ac:dyDescent="0.2">
      <c r="A121" s="2" t="s">
        <v>243</v>
      </c>
      <c r="B121" s="2"/>
      <c r="C121" s="2"/>
      <c r="E121" s="2"/>
      <c r="F121" s="2"/>
      <c r="G121" s="2"/>
      <c r="H121" s="2"/>
      <c r="I121" s="2"/>
      <c r="J121" s="8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8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F121" s="2"/>
      <c r="BG121" s="2"/>
      <c r="BH121" s="2"/>
    </row>
    <row r="122" spans="1:60" x14ac:dyDescent="0.2">
      <c r="A122" s="2" t="s">
        <v>244</v>
      </c>
      <c r="B122" s="2"/>
      <c r="C122" s="2"/>
      <c r="E122" s="2"/>
      <c r="F122" s="2"/>
      <c r="G122" s="2"/>
      <c r="H122" s="2"/>
      <c r="I122" s="2"/>
      <c r="J122" s="8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8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F122" s="2"/>
      <c r="BG122" s="2"/>
      <c r="BH122" s="2"/>
    </row>
    <row r="123" spans="1:60" x14ac:dyDescent="0.2">
      <c r="A123" s="2" t="s">
        <v>245</v>
      </c>
      <c r="B123" s="2"/>
      <c r="C123" s="2"/>
      <c r="E123" s="2"/>
      <c r="F123" s="2"/>
      <c r="G123" s="2"/>
      <c r="H123" s="2"/>
      <c r="I123" s="2"/>
      <c r="J123" s="8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8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F123" s="2"/>
      <c r="BG123" s="2"/>
      <c r="BH123" s="2"/>
    </row>
    <row r="124" spans="1:60" x14ac:dyDescent="0.2">
      <c r="A124" s="2" t="s">
        <v>246</v>
      </c>
      <c r="B124" s="2"/>
      <c r="C124" s="2"/>
      <c r="E124" s="2"/>
      <c r="F124" s="2"/>
      <c r="G124" s="2"/>
      <c r="H124" s="2"/>
      <c r="I124" s="2"/>
      <c r="J124" s="8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8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F124" s="2"/>
      <c r="BG124" s="2"/>
      <c r="BH124" s="2"/>
    </row>
    <row r="125" spans="1:60" x14ac:dyDescent="0.2">
      <c r="A125" s="2" t="s">
        <v>247</v>
      </c>
      <c r="B125" s="2"/>
      <c r="C125" s="2"/>
      <c r="E125" s="2"/>
      <c r="F125" s="2"/>
      <c r="G125" s="2"/>
      <c r="H125" s="2"/>
      <c r="I125" s="2"/>
      <c r="J125" s="8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8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F125" s="2"/>
      <c r="BG125" s="2"/>
      <c r="BH125" s="2"/>
    </row>
    <row r="126" spans="1:60" x14ac:dyDescent="0.2">
      <c r="A126" s="2" t="s">
        <v>248</v>
      </c>
      <c r="B126" s="2"/>
      <c r="C126" s="2"/>
      <c r="E126" s="2"/>
      <c r="F126" s="2"/>
      <c r="G126" s="2"/>
      <c r="H126" s="2"/>
      <c r="I126" s="2"/>
      <c r="J126" s="8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8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F126" s="2"/>
      <c r="BG126" s="2"/>
      <c r="BH126" s="2"/>
    </row>
    <row r="127" spans="1:60" x14ac:dyDescent="0.2">
      <c r="A127" s="2" t="s">
        <v>249</v>
      </c>
      <c r="B127" s="2"/>
      <c r="C127" s="2"/>
      <c r="E127" s="2"/>
      <c r="F127" s="2"/>
      <c r="G127" s="2"/>
      <c r="H127" s="2"/>
      <c r="I127" s="2"/>
      <c r="J127" s="8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8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F127" s="2"/>
      <c r="BG127" s="2"/>
      <c r="BH127" s="2"/>
    </row>
    <row r="128" spans="1:60" x14ac:dyDescent="0.2">
      <c r="A128" s="2" t="s">
        <v>250</v>
      </c>
      <c r="B128" s="2"/>
      <c r="C128" s="2"/>
      <c r="E128" s="2"/>
      <c r="F128" s="2"/>
      <c r="G128" s="2"/>
      <c r="H128" s="2"/>
      <c r="I128" s="2"/>
      <c r="J128" s="8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8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F128" s="2"/>
      <c r="BG128" s="2"/>
      <c r="BH128" s="2"/>
    </row>
    <row r="129" spans="1:60" x14ac:dyDescent="0.2">
      <c r="A129" s="2" t="s">
        <v>251</v>
      </c>
      <c r="B129" s="2"/>
      <c r="C129" s="2"/>
      <c r="E129" s="2"/>
      <c r="F129" s="2"/>
      <c r="G129" s="2"/>
      <c r="H129" s="2"/>
      <c r="I129" s="2"/>
      <c r="J129" s="8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8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F129" s="2"/>
      <c r="BG129" s="2"/>
      <c r="BH129" s="2"/>
    </row>
    <row r="130" spans="1:60" x14ac:dyDescent="0.2">
      <c r="A130" s="2" t="s">
        <v>252</v>
      </c>
      <c r="B130" s="2"/>
      <c r="C130" s="2"/>
      <c r="E130" s="2"/>
      <c r="F130" s="2"/>
      <c r="G130" s="2"/>
      <c r="H130" s="2"/>
      <c r="I130" s="2"/>
      <c r="J130" s="8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8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F130" s="2"/>
      <c r="BG130" s="2"/>
      <c r="BH130" s="2"/>
    </row>
    <row r="131" spans="1:60" x14ac:dyDescent="0.2">
      <c r="A131" s="2" t="s">
        <v>253</v>
      </c>
      <c r="B131" s="2"/>
      <c r="C131" s="2"/>
      <c r="E131" s="2"/>
      <c r="F131" s="2"/>
      <c r="G131" s="2"/>
      <c r="H131" s="2"/>
      <c r="I131" s="2"/>
      <c r="J131" s="8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8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F131" s="2"/>
      <c r="BG131" s="2"/>
      <c r="BH131" s="2"/>
    </row>
    <row r="132" spans="1:60" x14ac:dyDescent="0.2">
      <c r="A132" s="2" t="s">
        <v>254</v>
      </c>
      <c r="B132" s="2"/>
      <c r="C132" s="2"/>
      <c r="E132" s="2"/>
      <c r="F132" s="2"/>
      <c r="G132" s="2"/>
      <c r="H132" s="2"/>
      <c r="I132" s="2"/>
      <c r="J132" s="8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8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F132" s="2"/>
      <c r="BG132" s="2"/>
      <c r="BH132" s="2"/>
    </row>
    <row r="133" spans="1:60" x14ac:dyDescent="0.2">
      <c r="A133" s="2" t="s">
        <v>255</v>
      </c>
      <c r="B133" s="2"/>
      <c r="C133" s="2"/>
      <c r="E133" s="2"/>
      <c r="F133" s="2"/>
      <c r="G133" s="2"/>
      <c r="H133" s="2"/>
      <c r="I133" s="2"/>
      <c r="J133" s="8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8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F133" s="2"/>
      <c r="BG133" s="2"/>
      <c r="BH133" s="2"/>
    </row>
    <row r="134" spans="1:60" x14ac:dyDescent="0.2">
      <c r="A134" s="2" t="s">
        <v>256</v>
      </c>
      <c r="B134" s="2"/>
      <c r="C134" s="2"/>
      <c r="E134" s="2"/>
      <c r="F134" s="2"/>
      <c r="G134" s="2"/>
      <c r="H134" s="2"/>
      <c r="I134" s="2"/>
      <c r="J134" s="8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8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F134" s="2"/>
      <c r="BG134" s="2"/>
      <c r="BH134" s="2"/>
    </row>
    <row r="135" spans="1:60" x14ac:dyDescent="0.2">
      <c r="A135" s="2" t="s">
        <v>257</v>
      </c>
      <c r="B135" s="2"/>
      <c r="C135" s="2"/>
      <c r="E135" s="2"/>
      <c r="F135" s="2"/>
      <c r="G135" s="2"/>
      <c r="H135" s="2"/>
      <c r="I135" s="2"/>
      <c r="J135" s="8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8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F135" s="2"/>
      <c r="BG135" s="2"/>
      <c r="BH135" s="2"/>
    </row>
    <row r="136" spans="1:60" x14ac:dyDescent="0.2">
      <c r="A136" s="2" t="s">
        <v>258</v>
      </c>
      <c r="B136" s="2"/>
      <c r="C136" s="2"/>
      <c r="E136" s="2"/>
      <c r="F136" s="2"/>
      <c r="G136" s="2"/>
      <c r="H136" s="2"/>
      <c r="I136" s="2"/>
      <c r="J136" s="8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8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F136" s="2"/>
      <c r="BG136" s="2"/>
      <c r="BH136" s="2"/>
    </row>
    <row r="137" spans="1:60" x14ac:dyDescent="0.2">
      <c r="A137" s="2" t="s">
        <v>259</v>
      </c>
      <c r="B137" s="2"/>
      <c r="C137" s="2"/>
      <c r="E137" s="2"/>
      <c r="F137" s="2"/>
      <c r="G137" s="2"/>
      <c r="H137" s="2"/>
      <c r="I137" s="2"/>
      <c r="J137" s="8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8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F137" s="2"/>
      <c r="BG137" s="2"/>
      <c r="BH137" s="2"/>
    </row>
    <row r="138" spans="1:60" x14ac:dyDescent="0.2">
      <c r="A138" s="2" t="s">
        <v>260</v>
      </c>
      <c r="B138" s="2"/>
      <c r="C138" s="2"/>
      <c r="E138" s="2"/>
      <c r="F138" s="2"/>
      <c r="G138" s="2"/>
      <c r="H138" s="2"/>
      <c r="I138" s="2"/>
      <c r="J138" s="8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8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F138" s="2"/>
      <c r="BG138" s="2"/>
      <c r="BH138" s="2"/>
    </row>
    <row r="139" spans="1:60" x14ac:dyDescent="0.2">
      <c r="A139" s="2" t="s">
        <v>261</v>
      </c>
      <c r="B139" s="2"/>
      <c r="C139" s="2"/>
      <c r="E139" s="2"/>
      <c r="F139" s="2"/>
      <c r="G139" s="2"/>
      <c r="H139" s="2"/>
      <c r="I139" s="2"/>
      <c r="J139" s="8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8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F139" s="2"/>
      <c r="BG139" s="2"/>
      <c r="BH139" s="2"/>
    </row>
    <row r="140" spans="1:60" x14ac:dyDescent="0.2">
      <c r="A140" s="2" t="s">
        <v>262</v>
      </c>
      <c r="B140" s="2"/>
      <c r="C140" s="2"/>
      <c r="E140" s="2"/>
      <c r="F140" s="2"/>
      <c r="G140" s="2"/>
      <c r="H140" s="2"/>
      <c r="I140" s="2"/>
      <c r="J140" s="8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8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F140" s="2"/>
      <c r="BG140" s="2"/>
      <c r="BH140" s="2"/>
    </row>
    <row r="141" spans="1:60" x14ac:dyDescent="0.2">
      <c r="A141" s="2" t="s">
        <v>263</v>
      </c>
      <c r="B141" s="2"/>
      <c r="C141" s="2"/>
      <c r="E141" s="2"/>
      <c r="F141" s="2"/>
      <c r="G141" s="2"/>
      <c r="H141" s="2"/>
      <c r="I141" s="2"/>
      <c r="J141" s="8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8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F141" s="2"/>
      <c r="BG141" s="2"/>
      <c r="BH141" s="2"/>
    </row>
    <row r="142" spans="1:60" x14ac:dyDescent="0.2">
      <c r="A142" s="2" t="s">
        <v>264</v>
      </c>
      <c r="B142" s="2"/>
      <c r="C142" s="2"/>
      <c r="E142" s="2"/>
      <c r="F142" s="2"/>
      <c r="G142" s="2"/>
      <c r="H142" s="2"/>
      <c r="I142" s="2"/>
      <c r="J142" s="8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8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F142" s="2"/>
      <c r="BG142" s="2"/>
      <c r="BH142" s="2"/>
    </row>
    <row r="143" spans="1:60" x14ac:dyDescent="0.2">
      <c r="A143" s="2" t="s">
        <v>265</v>
      </c>
      <c r="B143" s="2"/>
      <c r="C143" s="2"/>
      <c r="E143" s="2"/>
      <c r="F143" s="2"/>
      <c r="G143" s="2"/>
      <c r="H143" s="2"/>
      <c r="I143" s="2"/>
      <c r="J143" s="8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8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F143" s="2"/>
      <c r="BG143" s="2"/>
      <c r="BH143" s="2"/>
    </row>
    <row r="144" spans="1:60" x14ac:dyDescent="0.2">
      <c r="A144" s="2" t="s">
        <v>266</v>
      </c>
      <c r="B144" s="2"/>
      <c r="C144" s="2"/>
      <c r="E144" s="2"/>
      <c r="F144" s="2"/>
      <c r="G144" s="2"/>
      <c r="H144" s="2"/>
      <c r="I144" s="2"/>
      <c r="J144" s="8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8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F144" s="2"/>
      <c r="BG144" s="2"/>
      <c r="BH144" s="2"/>
    </row>
    <row r="145" spans="1:60" x14ac:dyDescent="0.2">
      <c r="A145" s="2" t="s">
        <v>267</v>
      </c>
      <c r="B145" s="2"/>
      <c r="C145" s="2"/>
      <c r="E145" s="2"/>
      <c r="F145" s="2"/>
      <c r="G145" s="2"/>
      <c r="H145" s="2"/>
      <c r="I145" s="2"/>
      <c r="J145" s="8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8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F145" s="2"/>
      <c r="BG145" s="2"/>
      <c r="BH145" s="2"/>
    </row>
    <row r="146" spans="1:60" x14ac:dyDescent="0.2">
      <c r="A146" s="2" t="s">
        <v>268</v>
      </c>
      <c r="B146" s="2"/>
      <c r="C146" s="2"/>
      <c r="E146" s="2"/>
      <c r="F146" s="2"/>
      <c r="G146" s="2"/>
      <c r="H146" s="2"/>
      <c r="I146" s="2"/>
      <c r="J146" s="8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8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F146" s="2"/>
      <c r="BG146" s="2"/>
      <c r="BH146" s="2"/>
    </row>
    <row r="147" spans="1:60" x14ac:dyDescent="0.2">
      <c r="A147" s="2" t="s">
        <v>269</v>
      </c>
      <c r="B147" s="2"/>
      <c r="C147" s="2"/>
      <c r="E147" s="2"/>
      <c r="F147" s="2"/>
      <c r="G147" s="2"/>
      <c r="H147" s="2"/>
      <c r="I147" s="2"/>
      <c r="J147" s="8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8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F147" s="2"/>
      <c r="BG147" s="2"/>
      <c r="BH147" s="2"/>
    </row>
    <row r="148" spans="1:60" x14ac:dyDescent="0.2">
      <c r="A148" s="2" t="s">
        <v>270</v>
      </c>
      <c r="B148" s="2"/>
      <c r="C148" s="2"/>
      <c r="E148" s="2"/>
      <c r="F148" s="2"/>
      <c r="G148" s="2"/>
      <c r="H148" s="2"/>
      <c r="I148" s="2"/>
      <c r="J148" s="8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8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F148" s="2"/>
      <c r="BG148" s="2"/>
      <c r="BH148" s="2"/>
    </row>
    <row r="149" spans="1:60" x14ac:dyDescent="0.2">
      <c r="A149" s="2" t="s">
        <v>271</v>
      </c>
      <c r="B149" s="2"/>
      <c r="C149" s="2"/>
      <c r="E149" s="2"/>
      <c r="F149" s="2"/>
      <c r="G149" s="2"/>
      <c r="H149" s="2"/>
      <c r="I149" s="2"/>
      <c r="J149" s="8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8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F149" s="2"/>
      <c r="BG149" s="2"/>
      <c r="BH149" s="2"/>
    </row>
    <row r="150" spans="1:60" x14ac:dyDescent="0.2">
      <c r="A150" s="2" t="s">
        <v>272</v>
      </c>
      <c r="B150" s="2"/>
      <c r="C150" s="2"/>
      <c r="E150" s="2"/>
      <c r="F150" s="2"/>
      <c r="G150" s="2"/>
      <c r="H150" s="2"/>
      <c r="I150" s="2"/>
      <c r="J150" s="8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8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F150" s="2"/>
      <c r="BG150" s="2"/>
      <c r="BH150" s="2"/>
    </row>
    <row r="151" spans="1:60" x14ac:dyDescent="0.2">
      <c r="A151" s="2" t="s">
        <v>273</v>
      </c>
      <c r="B151" s="2"/>
      <c r="C151" s="2"/>
      <c r="E151" s="2"/>
      <c r="F151" s="2"/>
      <c r="G151" s="2"/>
      <c r="H151" s="2"/>
      <c r="I151" s="2"/>
      <c r="J151" s="8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8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F151" s="2"/>
      <c r="BG151" s="2"/>
      <c r="BH151" s="2"/>
    </row>
    <row r="152" spans="1:60" x14ac:dyDescent="0.2">
      <c r="A152" s="2" t="s">
        <v>274</v>
      </c>
      <c r="B152" s="2"/>
      <c r="C152" s="2"/>
      <c r="E152" s="2"/>
      <c r="F152" s="2"/>
      <c r="G152" s="2"/>
      <c r="H152" s="2"/>
      <c r="I152" s="2"/>
      <c r="J152" s="8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8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F152" s="2"/>
      <c r="BG152" s="2"/>
      <c r="BH152" s="2"/>
    </row>
    <row r="153" spans="1:60" x14ac:dyDescent="0.2">
      <c r="A153" s="2" t="s">
        <v>275</v>
      </c>
      <c r="B153" s="2"/>
      <c r="C153" s="2"/>
      <c r="E153" s="2"/>
      <c r="F153" s="2"/>
      <c r="G153" s="2"/>
      <c r="H153" s="2"/>
      <c r="I153" s="2"/>
      <c r="J153" s="8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8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F153" s="2"/>
      <c r="BG153" s="2"/>
      <c r="BH153" s="2"/>
    </row>
    <row r="154" spans="1:60" x14ac:dyDescent="0.2">
      <c r="A154" s="2" t="s">
        <v>276</v>
      </c>
      <c r="B154" s="2"/>
      <c r="C154" s="2"/>
      <c r="E154" s="2"/>
      <c r="F154" s="2"/>
      <c r="G154" s="2"/>
      <c r="H154" s="2"/>
      <c r="I154" s="2"/>
      <c r="J154" s="8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8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F154" s="2"/>
      <c r="BG154" s="2"/>
      <c r="BH154" s="2"/>
    </row>
    <row r="155" spans="1:60" x14ac:dyDescent="0.2">
      <c r="A155" s="2" t="s">
        <v>277</v>
      </c>
      <c r="B155" s="2"/>
      <c r="C155" s="2"/>
      <c r="E155" s="2"/>
      <c r="F155" s="2"/>
      <c r="G155" s="2"/>
      <c r="H155" s="2"/>
      <c r="I155" s="2"/>
      <c r="J155" s="8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8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F155" s="2"/>
      <c r="BG155" s="2"/>
      <c r="BH155" s="2"/>
    </row>
    <row r="156" spans="1:60" x14ac:dyDescent="0.2">
      <c r="A156" s="2" t="s">
        <v>278</v>
      </c>
      <c r="B156" s="2"/>
      <c r="C156" s="2"/>
      <c r="E156" s="2"/>
      <c r="F156" s="2"/>
      <c r="G156" s="2"/>
      <c r="H156" s="2"/>
      <c r="I156" s="2"/>
      <c r="J156" s="8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8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F156" s="2"/>
      <c r="BG156" s="2"/>
      <c r="BH156" s="2"/>
    </row>
    <row r="157" spans="1:60" x14ac:dyDescent="0.2">
      <c r="A157" s="2" t="s">
        <v>279</v>
      </c>
      <c r="B157" s="2"/>
      <c r="C157" s="2"/>
      <c r="E157" s="2"/>
      <c r="F157" s="2"/>
      <c r="G157" s="2"/>
      <c r="H157" s="2"/>
      <c r="I157" s="2"/>
      <c r="J157" s="8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8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F157" s="2"/>
      <c r="BG157" s="2"/>
      <c r="BH157" s="2"/>
    </row>
    <row r="158" spans="1:60" x14ac:dyDescent="0.2">
      <c r="A158" s="2" t="s">
        <v>280</v>
      </c>
      <c r="B158" s="2"/>
      <c r="C158" s="2"/>
      <c r="E158" s="2"/>
      <c r="F158" s="2"/>
      <c r="G158" s="2"/>
      <c r="H158" s="2"/>
      <c r="I158" s="2"/>
      <c r="J158" s="8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8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F158" s="2"/>
      <c r="BG158" s="2"/>
      <c r="BH158" s="2"/>
    </row>
    <row r="159" spans="1:60" x14ac:dyDescent="0.2">
      <c r="A159" s="2" t="s">
        <v>281</v>
      </c>
      <c r="B159" s="2"/>
      <c r="C159" s="2"/>
      <c r="E159" s="2"/>
      <c r="F159" s="2"/>
      <c r="G159" s="2"/>
      <c r="H159" s="2"/>
      <c r="I159" s="2"/>
      <c r="J159" s="8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8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F159" s="2"/>
      <c r="BG159" s="2"/>
      <c r="BH159" s="2"/>
    </row>
    <row r="160" spans="1:60" x14ac:dyDescent="0.2">
      <c r="A160" s="2" t="s">
        <v>282</v>
      </c>
      <c r="B160" s="2"/>
      <c r="C160" s="2"/>
      <c r="E160" s="2"/>
      <c r="F160" s="2"/>
      <c r="G160" s="2"/>
      <c r="H160" s="2"/>
      <c r="I160" s="2"/>
      <c r="J160" s="8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8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F160" s="2"/>
      <c r="BG160" s="2"/>
      <c r="BH160" s="2"/>
    </row>
    <row r="161" spans="1:60" x14ac:dyDescent="0.2">
      <c r="A161" s="2" t="s">
        <v>283</v>
      </c>
      <c r="B161" s="2"/>
      <c r="C161" s="2"/>
      <c r="E161" s="2"/>
      <c r="F161" s="2"/>
      <c r="G161" s="2"/>
      <c r="H161" s="2"/>
      <c r="I161" s="2"/>
      <c r="J161" s="8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8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F161" s="2"/>
      <c r="BG161" s="2"/>
      <c r="BH161" s="2"/>
    </row>
    <row r="162" spans="1:60" x14ac:dyDescent="0.2">
      <c r="A162" s="2" t="s">
        <v>284</v>
      </c>
      <c r="B162" s="2"/>
      <c r="C162" s="2"/>
      <c r="E162" s="2"/>
      <c r="F162" s="2"/>
      <c r="G162" s="2"/>
      <c r="H162" s="2"/>
      <c r="I162" s="2"/>
      <c r="J162" s="8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8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F162" s="2"/>
      <c r="BG162" s="2"/>
      <c r="BH162" s="2"/>
    </row>
    <row r="163" spans="1:60" x14ac:dyDescent="0.2">
      <c r="A163" s="2" t="s">
        <v>285</v>
      </c>
      <c r="B163" s="2"/>
      <c r="C163" s="2"/>
      <c r="E163" s="2"/>
      <c r="F163" s="2"/>
      <c r="G163" s="2"/>
      <c r="H163" s="2"/>
      <c r="I163" s="2"/>
      <c r="J163" s="8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8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F163" s="2"/>
      <c r="BG163" s="2"/>
      <c r="BH163" s="2"/>
    </row>
    <row r="164" spans="1:60" x14ac:dyDescent="0.2">
      <c r="A164" s="2" t="s">
        <v>286</v>
      </c>
      <c r="B164" s="2"/>
      <c r="C164" s="2"/>
      <c r="E164" s="2"/>
      <c r="F164" s="2"/>
      <c r="G164" s="2"/>
      <c r="H164" s="2"/>
      <c r="I164" s="2"/>
      <c r="J164" s="8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8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F164" s="2"/>
      <c r="BG164" s="2"/>
      <c r="BH164" s="2"/>
    </row>
    <row r="165" spans="1:60" x14ac:dyDescent="0.2">
      <c r="A165" s="2" t="s">
        <v>287</v>
      </c>
      <c r="B165" s="2"/>
      <c r="C165" s="2"/>
      <c r="E165" s="2"/>
      <c r="F165" s="2"/>
      <c r="G165" s="2"/>
      <c r="H165" s="2"/>
      <c r="I165" s="2"/>
      <c r="J165" s="8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8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F165" s="2"/>
      <c r="BG165" s="2"/>
      <c r="BH165" s="2"/>
    </row>
    <row r="166" spans="1:60" x14ac:dyDescent="0.2">
      <c r="A166" s="2" t="s">
        <v>288</v>
      </c>
      <c r="B166" s="2"/>
      <c r="C166" s="2"/>
      <c r="E166" s="2"/>
      <c r="F166" s="2"/>
      <c r="G166" s="2"/>
      <c r="H166" s="2"/>
      <c r="I166" s="2"/>
      <c r="J166" s="8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8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F166" s="2"/>
      <c r="BG166" s="2"/>
      <c r="BH166" s="2"/>
    </row>
    <row r="167" spans="1:60" x14ac:dyDescent="0.2">
      <c r="A167" s="2" t="s">
        <v>289</v>
      </c>
      <c r="B167" s="2"/>
      <c r="C167" s="2"/>
      <c r="E167" s="2"/>
      <c r="F167" s="2"/>
      <c r="G167" s="2"/>
      <c r="H167" s="2"/>
      <c r="I167" s="2"/>
      <c r="J167" s="8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8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F167" s="2"/>
      <c r="BG167" s="2"/>
      <c r="BH167" s="2"/>
    </row>
    <row r="168" spans="1:60" x14ac:dyDescent="0.2">
      <c r="A168" s="2" t="s">
        <v>290</v>
      </c>
      <c r="B168" s="2"/>
      <c r="C168" s="2"/>
      <c r="E168" s="2"/>
      <c r="F168" s="2"/>
      <c r="G168" s="2"/>
      <c r="H168" s="2"/>
      <c r="I168" s="2"/>
      <c r="J168" s="8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8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F168" s="2"/>
      <c r="BG168" s="2"/>
      <c r="BH168" s="2"/>
    </row>
    <row r="169" spans="1:60" x14ac:dyDescent="0.2">
      <c r="A169" s="2" t="s">
        <v>291</v>
      </c>
      <c r="B169" s="2"/>
      <c r="C169" s="2"/>
      <c r="E169" s="2"/>
      <c r="F169" s="2"/>
      <c r="G169" s="2"/>
      <c r="H169" s="2"/>
      <c r="I169" s="2"/>
      <c r="J169" s="8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8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F169" s="2"/>
      <c r="BG169" s="2"/>
      <c r="BH169" s="2"/>
    </row>
    <row r="170" spans="1:60" x14ac:dyDescent="0.2">
      <c r="A170" s="2" t="s">
        <v>292</v>
      </c>
      <c r="B170" s="2"/>
      <c r="C170" s="2"/>
      <c r="E170" s="2"/>
      <c r="F170" s="2"/>
      <c r="G170" s="2"/>
      <c r="H170" s="2"/>
      <c r="I170" s="2"/>
      <c r="J170" s="8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8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F170" s="2"/>
      <c r="BG170" s="2"/>
      <c r="BH170" s="2"/>
    </row>
    <row r="171" spans="1:60" x14ac:dyDescent="0.2">
      <c r="A171" s="2" t="s">
        <v>293</v>
      </c>
      <c r="B171" s="2"/>
      <c r="C171" s="2"/>
      <c r="E171" s="2"/>
      <c r="F171" s="2"/>
      <c r="G171" s="2"/>
      <c r="H171" s="2"/>
      <c r="I171" s="2"/>
      <c r="J171" s="8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8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F171" s="2"/>
      <c r="BG171" s="2"/>
      <c r="BH171" s="2"/>
    </row>
    <row r="172" spans="1:60" x14ac:dyDescent="0.2">
      <c r="A172" s="2" t="s">
        <v>294</v>
      </c>
      <c r="B172" s="2"/>
      <c r="C172" s="2"/>
      <c r="E172" s="2"/>
      <c r="F172" s="2"/>
      <c r="G172" s="2"/>
      <c r="H172" s="2"/>
      <c r="I172" s="2"/>
      <c r="J172" s="8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8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F172" s="2"/>
      <c r="BG172" s="2"/>
      <c r="BH172" s="2"/>
    </row>
    <row r="173" spans="1:60" x14ac:dyDescent="0.2">
      <c r="A173" s="2" t="s">
        <v>295</v>
      </c>
      <c r="B173" s="2"/>
      <c r="C173" s="2"/>
      <c r="E173" s="2"/>
      <c r="F173" s="2"/>
      <c r="G173" s="2"/>
      <c r="H173" s="2"/>
      <c r="I173" s="2"/>
      <c r="J173" s="8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8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F173" s="2"/>
      <c r="BG173" s="2"/>
      <c r="BH173" s="2"/>
    </row>
    <row r="174" spans="1:60" x14ac:dyDescent="0.2">
      <c r="A174" s="2" t="s">
        <v>296</v>
      </c>
      <c r="B174" s="2"/>
      <c r="C174" s="2"/>
      <c r="E174" s="2"/>
      <c r="F174" s="2"/>
      <c r="G174" s="2"/>
      <c r="H174" s="2"/>
      <c r="I174" s="2"/>
      <c r="J174" s="8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8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F174" s="2"/>
      <c r="BG174" s="2"/>
      <c r="BH174" s="2"/>
    </row>
    <row r="175" spans="1:60" x14ac:dyDescent="0.2">
      <c r="A175" s="2" t="s">
        <v>297</v>
      </c>
      <c r="B175" s="2"/>
      <c r="C175" s="2"/>
      <c r="E175" s="2"/>
      <c r="F175" s="2"/>
      <c r="G175" s="2"/>
      <c r="H175" s="2"/>
      <c r="I175" s="2"/>
      <c r="J175" s="8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8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F175" s="2"/>
      <c r="BG175" s="2"/>
      <c r="BH175" s="2"/>
    </row>
    <row r="176" spans="1:60" x14ac:dyDescent="0.2">
      <c r="A176" s="2" t="s">
        <v>298</v>
      </c>
      <c r="B176" s="2"/>
      <c r="C176" s="2"/>
      <c r="E176" s="2"/>
      <c r="F176" s="2"/>
      <c r="G176" s="2"/>
      <c r="H176" s="2"/>
      <c r="I176" s="2"/>
      <c r="J176" s="8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8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F176" s="2"/>
      <c r="BG176" s="2"/>
      <c r="BH176" s="2"/>
    </row>
    <row r="177" spans="1:60" x14ac:dyDescent="0.2">
      <c r="A177" s="2" t="s">
        <v>299</v>
      </c>
      <c r="B177" s="2"/>
      <c r="C177" s="2"/>
      <c r="E177" s="2"/>
      <c r="F177" s="2"/>
      <c r="G177" s="2"/>
      <c r="H177" s="2"/>
      <c r="I177" s="2"/>
      <c r="J177" s="8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8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F177" s="2"/>
      <c r="BG177" s="2"/>
      <c r="BH177" s="2"/>
    </row>
    <row r="178" spans="1:60" x14ac:dyDescent="0.2">
      <c r="A178" s="2" t="s">
        <v>300</v>
      </c>
      <c r="B178" s="2"/>
      <c r="C178" s="2"/>
      <c r="E178" s="2"/>
      <c r="F178" s="2"/>
      <c r="G178" s="2"/>
      <c r="H178" s="2"/>
      <c r="I178" s="2"/>
      <c r="J178" s="8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8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F178" s="2"/>
      <c r="BG178" s="2"/>
      <c r="BH178" s="2"/>
    </row>
    <row r="179" spans="1:60" x14ac:dyDescent="0.2">
      <c r="A179" s="2" t="s">
        <v>301</v>
      </c>
      <c r="B179" s="2"/>
      <c r="C179" s="2"/>
      <c r="E179" s="2"/>
      <c r="F179" s="2"/>
      <c r="G179" s="2"/>
      <c r="H179" s="2"/>
      <c r="I179" s="2"/>
      <c r="J179" s="8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8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F179" s="2"/>
      <c r="BG179" s="2"/>
      <c r="BH179" s="2"/>
    </row>
    <row r="180" spans="1:60" x14ac:dyDescent="0.2">
      <c r="A180" s="2" t="s">
        <v>302</v>
      </c>
      <c r="B180" s="2"/>
      <c r="C180" s="2"/>
      <c r="E180" s="2"/>
      <c r="F180" s="2"/>
      <c r="G180" s="2"/>
      <c r="H180" s="2"/>
      <c r="I180" s="2"/>
      <c r="J180" s="8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8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F180" s="2"/>
      <c r="BG180" s="2"/>
      <c r="BH180" s="2"/>
    </row>
    <row r="181" spans="1:60" x14ac:dyDescent="0.2">
      <c r="A181" s="2" t="s">
        <v>303</v>
      </c>
      <c r="B181" s="2"/>
      <c r="C181" s="2"/>
      <c r="E181" s="2"/>
      <c r="F181" s="2"/>
      <c r="G181" s="2"/>
      <c r="H181" s="2"/>
      <c r="I181" s="2"/>
      <c r="J181" s="8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8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F181" s="2"/>
      <c r="BG181" s="2"/>
      <c r="BH181" s="2"/>
    </row>
    <row r="182" spans="1:60" x14ac:dyDescent="0.2">
      <c r="A182" s="2" t="s">
        <v>304</v>
      </c>
      <c r="B182" s="2"/>
      <c r="C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F182" s="2"/>
      <c r="BG182" s="2"/>
      <c r="BH182" s="2"/>
    </row>
    <row r="183" spans="1:60" x14ac:dyDescent="0.2">
      <c r="A183" s="2" t="s">
        <v>305</v>
      </c>
      <c r="B183" s="2"/>
      <c r="C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F183" s="2"/>
      <c r="BG183" s="2"/>
      <c r="BH183" s="2"/>
    </row>
    <row r="184" spans="1:60" x14ac:dyDescent="0.2">
      <c r="A184" s="2" t="s">
        <v>306</v>
      </c>
      <c r="B184" s="2"/>
      <c r="C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F184" s="2"/>
      <c r="BG184" s="2"/>
      <c r="BH184" s="2"/>
    </row>
    <row r="185" spans="1:60" x14ac:dyDescent="0.2">
      <c r="A185" s="2" t="s">
        <v>307</v>
      </c>
      <c r="B185" s="2"/>
      <c r="C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F185" s="2"/>
      <c r="BG185" s="2"/>
      <c r="BH185" s="2"/>
    </row>
    <row r="186" spans="1:60" x14ac:dyDescent="0.2">
      <c r="A186" s="2" t="s">
        <v>308</v>
      </c>
      <c r="B186" s="2"/>
      <c r="C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F186" s="2"/>
      <c r="BG186" s="2"/>
      <c r="BH186" s="2"/>
    </row>
    <row r="187" spans="1:60" x14ac:dyDescent="0.2">
      <c r="A187" s="2" t="s">
        <v>309</v>
      </c>
      <c r="B187" s="2"/>
      <c r="C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F187" s="2"/>
      <c r="BG187" s="2"/>
      <c r="BH187" s="2"/>
    </row>
    <row r="188" spans="1:60" x14ac:dyDescent="0.2">
      <c r="A188" s="2" t="s">
        <v>310</v>
      </c>
      <c r="B188" s="2"/>
      <c r="C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F188" s="2"/>
      <c r="BG188" s="2"/>
      <c r="BH188" s="2"/>
    </row>
    <row r="189" spans="1:60" x14ac:dyDescent="0.2">
      <c r="A189" s="2" t="s">
        <v>311</v>
      </c>
      <c r="B189" s="2"/>
      <c r="C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F189" s="2"/>
      <c r="BG189" s="2"/>
      <c r="BH189" s="2"/>
    </row>
    <row r="190" spans="1:60" x14ac:dyDescent="0.2">
      <c r="A190" s="2" t="s">
        <v>312</v>
      </c>
      <c r="B190" s="2"/>
      <c r="C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F190" s="2"/>
      <c r="BG190" s="2"/>
      <c r="BH190" s="2"/>
    </row>
    <row r="191" spans="1:60" x14ac:dyDescent="0.2">
      <c r="A191" s="2" t="s">
        <v>313</v>
      </c>
      <c r="B191" s="2"/>
      <c r="C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F191" s="2"/>
      <c r="BG191" s="2"/>
      <c r="BH191" s="2"/>
    </row>
    <row r="192" spans="1:60" x14ac:dyDescent="0.2">
      <c r="A192" s="2" t="s">
        <v>314</v>
      </c>
      <c r="B192" s="2"/>
      <c r="C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F192" s="2"/>
      <c r="BG192" s="2"/>
      <c r="BH192" s="2"/>
    </row>
    <row r="193" spans="1:60" x14ac:dyDescent="0.2">
      <c r="A193" s="2" t="s">
        <v>315</v>
      </c>
      <c r="B193" s="2"/>
      <c r="C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F193" s="2"/>
      <c r="BG193" s="2"/>
      <c r="BH193" s="2"/>
    </row>
    <row r="194" spans="1:60" x14ac:dyDescent="0.2">
      <c r="A194" s="2" t="s">
        <v>316</v>
      </c>
      <c r="B194" s="2"/>
      <c r="C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F194" s="2"/>
      <c r="BG194" s="2"/>
      <c r="BH194" s="2"/>
    </row>
    <row r="195" spans="1:60" x14ac:dyDescent="0.2">
      <c r="A195" s="2" t="s">
        <v>317</v>
      </c>
      <c r="B195" s="2"/>
      <c r="C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F195" s="2"/>
      <c r="BG195" s="2"/>
      <c r="BH195" s="2"/>
    </row>
    <row r="196" spans="1:60" x14ac:dyDescent="0.2">
      <c r="A196" s="2" t="s">
        <v>318</v>
      </c>
      <c r="B196" s="2"/>
      <c r="C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F196" s="2"/>
      <c r="BG196" s="2"/>
      <c r="BH196" s="2"/>
    </row>
    <row r="197" spans="1:60" x14ac:dyDescent="0.2">
      <c r="A197" s="2" t="s">
        <v>319</v>
      </c>
      <c r="B197" s="2"/>
      <c r="C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F197" s="2"/>
      <c r="BG197" s="2"/>
      <c r="BH197" s="2"/>
    </row>
    <row r="198" spans="1:60" x14ac:dyDescent="0.2">
      <c r="A198" s="2" t="s">
        <v>320</v>
      </c>
      <c r="B198" s="2"/>
      <c r="C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F198" s="2"/>
      <c r="BG198" s="2"/>
      <c r="BH198" s="2"/>
    </row>
    <row r="199" spans="1:60" x14ac:dyDescent="0.2">
      <c r="A199" s="2" t="s">
        <v>321</v>
      </c>
      <c r="B199" s="2"/>
      <c r="C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F199" s="2"/>
      <c r="BG199" s="2"/>
      <c r="BH199" s="2"/>
    </row>
    <row r="200" spans="1:60" x14ac:dyDescent="0.2">
      <c r="A200" s="2" t="s">
        <v>322</v>
      </c>
      <c r="B200" s="2"/>
      <c r="C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F200" s="2"/>
      <c r="BG200" s="2"/>
      <c r="BH200" s="2"/>
    </row>
    <row r="201" spans="1:60" x14ac:dyDescent="0.2">
      <c r="A201" s="2" t="s">
        <v>323</v>
      </c>
      <c r="B201" s="2"/>
      <c r="C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F201" s="2"/>
      <c r="BG201" s="2"/>
      <c r="BH201" s="2"/>
    </row>
    <row r="202" spans="1:60" x14ac:dyDescent="0.2">
      <c r="A202" s="2" t="s">
        <v>324</v>
      </c>
      <c r="B202" s="2"/>
      <c r="C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F202" s="2"/>
      <c r="BG202" s="2"/>
      <c r="BH202" s="2"/>
    </row>
    <row r="203" spans="1:60" x14ac:dyDescent="0.2">
      <c r="A203" s="2" t="s">
        <v>325</v>
      </c>
      <c r="B203" s="2"/>
      <c r="C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F203" s="2"/>
      <c r="BG203" s="2"/>
      <c r="BH203" s="2"/>
    </row>
    <row r="204" spans="1:60" x14ac:dyDescent="0.2">
      <c r="A204" s="2" t="s">
        <v>326</v>
      </c>
      <c r="B204" s="2"/>
      <c r="C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F204" s="2"/>
      <c r="BG204" s="2"/>
      <c r="BH204" s="2"/>
    </row>
    <row r="205" spans="1:60" x14ac:dyDescent="0.2">
      <c r="A205" s="2" t="s">
        <v>327</v>
      </c>
      <c r="B205" s="2"/>
      <c r="C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F205" s="2"/>
      <c r="BG205" s="2"/>
      <c r="BH205" s="2"/>
    </row>
    <row r="206" spans="1:60" x14ac:dyDescent="0.2">
      <c r="A206" s="2" t="s">
        <v>328</v>
      </c>
      <c r="B206" s="2"/>
      <c r="C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F206" s="2"/>
      <c r="BG206" s="2"/>
      <c r="BH206" s="2"/>
    </row>
    <row r="207" spans="1:60" x14ac:dyDescent="0.2">
      <c r="A207" s="2" t="s">
        <v>329</v>
      </c>
      <c r="B207" s="2"/>
      <c r="C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F207" s="2"/>
      <c r="BG207" s="2"/>
      <c r="BH207" s="2"/>
    </row>
    <row r="208" spans="1:60" x14ac:dyDescent="0.2">
      <c r="A208" s="2" t="s">
        <v>330</v>
      </c>
      <c r="B208" s="2"/>
      <c r="C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F208" s="2"/>
      <c r="BG208" s="2"/>
      <c r="BH208" s="2"/>
    </row>
    <row r="209" spans="1:60" x14ac:dyDescent="0.2">
      <c r="A209" s="2" t="s">
        <v>331</v>
      </c>
      <c r="B209" s="2"/>
      <c r="C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F209" s="2"/>
      <c r="BG209" s="2"/>
      <c r="BH209" s="2"/>
    </row>
    <row r="210" spans="1:60" x14ac:dyDescent="0.2">
      <c r="A210" s="2" t="s">
        <v>332</v>
      </c>
      <c r="B210" s="2"/>
      <c r="C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F210" s="2"/>
      <c r="BG210" s="2"/>
      <c r="BH210" s="2"/>
    </row>
    <row r="211" spans="1:60" x14ac:dyDescent="0.2">
      <c r="A211" s="2" t="s">
        <v>333</v>
      </c>
      <c r="B211" s="2"/>
      <c r="C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F211" s="2"/>
      <c r="BG211" s="2"/>
      <c r="BH211" s="2"/>
    </row>
    <row r="212" spans="1:60" x14ac:dyDescent="0.2">
      <c r="A212" s="2" t="s">
        <v>334</v>
      </c>
      <c r="B212" s="2"/>
      <c r="C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F212" s="2"/>
      <c r="BG212" s="2"/>
      <c r="BH212" s="2"/>
    </row>
    <row r="213" spans="1:60" x14ac:dyDescent="0.2">
      <c r="A213" s="2" t="s">
        <v>335</v>
      </c>
      <c r="B213" s="2"/>
      <c r="C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F213" s="2"/>
      <c r="BG213" s="2"/>
      <c r="BH213" s="2"/>
    </row>
    <row r="214" spans="1:60" x14ac:dyDescent="0.2">
      <c r="A214" s="2" t="s">
        <v>336</v>
      </c>
      <c r="B214" s="2"/>
      <c r="C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F214" s="2"/>
      <c r="BG214" s="2"/>
      <c r="BH214" s="2"/>
    </row>
    <row r="215" spans="1:60" x14ac:dyDescent="0.2">
      <c r="A215" s="2" t="s">
        <v>337</v>
      </c>
      <c r="B215" s="2"/>
      <c r="C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F215" s="2"/>
      <c r="BG215" s="2"/>
      <c r="BH215" s="2"/>
    </row>
    <row r="216" spans="1:60" x14ac:dyDescent="0.2">
      <c r="A216" s="2" t="s">
        <v>338</v>
      </c>
      <c r="B216" s="2"/>
      <c r="C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F216" s="2"/>
      <c r="BG216" s="2"/>
      <c r="BH216" s="2"/>
    </row>
    <row r="217" spans="1:60" x14ac:dyDescent="0.2">
      <c r="A217" s="2" t="s">
        <v>339</v>
      </c>
      <c r="B217" s="2"/>
      <c r="C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F217" s="2"/>
      <c r="BG217" s="2"/>
      <c r="BH217" s="2"/>
    </row>
    <row r="218" spans="1:60" x14ac:dyDescent="0.2">
      <c r="A218" s="2"/>
      <c r="B218" s="2"/>
      <c r="C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F218" s="2"/>
      <c r="BG218" s="2"/>
      <c r="BH218" s="2"/>
    </row>
    <row r="219" spans="1:60" x14ac:dyDescent="0.2">
      <c r="A219" s="2"/>
      <c r="B219" s="2"/>
      <c r="C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F219" s="2"/>
      <c r="BG219" s="2"/>
      <c r="BH219" s="2"/>
    </row>
    <row r="220" spans="1:60" x14ac:dyDescent="0.2">
      <c r="A220" s="2"/>
      <c r="B220" s="2"/>
      <c r="C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F220" s="2"/>
      <c r="BG220" s="2"/>
      <c r="BH220" s="2"/>
    </row>
    <row r="221" spans="1:60" x14ac:dyDescent="0.2">
      <c r="A221" s="2"/>
      <c r="B221" s="2"/>
      <c r="C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F221" s="2"/>
      <c r="BG221" s="2"/>
      <c r="BH221" s="2"/>
    </row>
    <row r="222" spans="1:60" x14ac:dyDescent="0.2">
      <c r="A222" s="2"/>
      <c r="B222" s="2"/>
      <c r="C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F222" s="2"/>
      <c r="BG222" s="2"/>
      <c r="BH222" s="2"/>
    </row>
    <row r="223" spans="1:60" x14ac:dyDescent="0.2">
      <c r="A223" s="2"/>
      <c r="B223" s="2"/>
      <c r="C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F223" s="2"/>
      <c r="BG223" s="2"/>
      <c r="BH223" s="2"/>
    </row>
    <row r="224" spans="1:60" x14ac:dyDescent="0.2">
      <c r="A224" s="2"/>
      <c r="B224" s="2"/>
      <c r="C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F224" s="2"/>
      <c r="BG224" s="2"/>
      <c r="BH224" s="2"/>
    </row>
    <row r="225" spans="1:60" x14ac:dyDescent="0.2">
      <c r="A225" s="2"/>
      <c r="B225" s="2"/>
      <c r="C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F225" s="2"/>
      <c r="BG225" s="2"/>
      <c r="BH225" s="2"/>
    </row>
    <row r="226" spans="1:60" x14ac:dyDescent="0.2">
      <c r="A226" s="2"/>
      <c r="B226" s="2"/>
      <c r="C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F226" s="2"/>
      <c r="BG226" s="2"/>
      <c r="BH226" s="2"/>
    </row>
    <row r="227" spans="1:60" x14ac:dyDescent="0.2">
      <c r="A227" s="2"/>
      <c r="B227" s="2"/>
      <c r="C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F227" s="2"/>
      <c r="BG227" s="2"/>
      <c r="BH227" s="2"/>
    </row>
    <row r="228" spans="1:60" x14ac:dyDescent="0.2">
      <c r="A228" s="2"/>
      <c r="B228" s="2"/>
      <c r="C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F228" s="2"/>
      <c r="BG228" s="2"/>
      <c r="BH228" s="2"/>
    </row>
    <row r="229" spans="1:60" x14ac:dyDescent="0.2">
      <c r="A229" s="2"/>
      <c r="B229" s="2"/>
      <c r="C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F229" s="2"/>
      <c r="BG229" s="2"/>
      <c r="BH229" s="2"/>
    </row>
    <row r="230" spans="1:60" x14ac:dyDescent="0.2">
      <c r="A230" s="2"/>
      <c r="B230" s="2"/>
      <c r="C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F230" s="2"/>
      <c r="BG230" s="2"/>
      <c r="BH230" s="2"/>
    </row>
    <row r="231" spans="1:60" x14ac:dyDescent="0.2">
      <c r="A231" s="2"/>
      <c r="B231" s="2"/>
      <c r="C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F231" s="2"/>
      <c r="BG231" s="2"/>
      <c r="BH231" s="2"/>
    </row>
    <row r="232" spans="1:60" x14ac:dyDescent="0.2">
      <c r="A232" s="2"/>
      <c r="B232" s="2"/>
      <c r="C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F232" s="2"/>
      <c r="BG232" s="2"/>
      <c r="BH232" s="2"/>
    </row>
    <row r="233" spans="1:60" x14ac:dyDescent="0.2">
      <c r="A233" s="2"/>
      <c r="B233" s="2"/>
      <c r="C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F233" s="2"/>
      <c r="BG233" s="2"/>
      <c r="BH233" s="2"/>
    </row>
    <row r="234" spans="1:60" x14ac:dyDescent="0.2">
      <c r="A234" s="2"/>
      <c r="B234" s="2"/>
      <c r="C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F234" s="2"/>
      <c r="BG234" s="2"/>
      <c r="BH234" s="2"/>
    </row>
    <row r="235" spans="1:60" x14ac:dyDescent="0.2">
      <c r="A235" s="2"/>
      <c r="B235" s="2"/>
      <c r="C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F235" s="2"/>
      <c r="BG235" s="2"/>
      <c r="BH235" s="2"/>
    </row>
    <row r="236" spans="1:60" x14ac:dyDescent="0.2">
      <c r="A236" s="2"/>
      <c r="B236" s="2"/>
      <c r="C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F236" s="2"/>
      <c r="BG236" s="2"/>
      <c r="BH236" s="2"/>
    </row>
    <row r="237" spans="1:60" x14ac:dyDescent="0.2">
      <c r="A237" s="2"/>
      <c r="B237" s="2"/>
      <c r="C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F237" s="2"/>
      <c r="BG237" s="2"/>
      <c r="BH237" s="2"/>
    </row>
    <row r="238" spans="1:60" x14ac:dyDescent="0.2">
      <c r="A238" s="2"/>
      <c r="B238" s="2"/>
      <c r="C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F238" s="2"/>
      <c r="BG238" s="2"/>
      <c r="BH238" s="2"/>
    </row>
    <row r="239" spans="1:60" x14ac:dyDescent="0.2">
      <c r="A239" s="2"/>
      <c r="B239" s="2"/>
      <c r="C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F239" s="2"/>
      <c r="BG239" s="2"/>
      <c r="BH239" s="2"/>
    </row>
    <row r="240" spans="1:60" x14ac:dyDescent="0.2">
      <c r="A240" s="2"/>
      <c r="B240" s="2"/>
      <c r="C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F240" s="2"/>
      <c r="BG240" s="2"/>
      <c r="BH240" s="2"/>
    </row>
    <row r="241" spans="1:60" x14ac:dyDescent="0.2">
      <c r="A241" s="2"/>
      <c r="B241" s="2"/>
      <c r="C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F241" s="2"/>
      <c r="BG241" s="2"/>
      <c r="BH241" s="2"/>
    </row>
    <row r="242" spans="1:60" x14ac:dyDescent="0.2">
      <c r="A242" s="2"/>
      <c r="B242" s="2"/>
      <c r="C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F242" s="2"/>
      <c r="BG242" s="2"/>
      <c r="BH242" s="2"/>
    </row>
    <row r="243" spans="1:60" x14ac:dyDescent="0.2">
      <c r="A243" s="2"/>
      <c r="B243" s="2"/>
      <c r="C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F243" s="2"/>
      <c r="BG243" s="2"/>
      <c r="BH243" s="2"/>
    </row>
    <row r="244" spans="1:60" x14ac:dyDescent="0.2">
      <c r="A244" s="2"/>
      <c r="B244" s="2"/>
      <c r="C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F244" s="2"/>
      <c r="BG244" s="2"/>
      <c r="BH244" s="2"/>
    </row>
    <row r="245" spans="1:60" x14ac:dyDescent="0.2">
      <c r="A245" s="2"/>
      <c r="B245" s="2"/>
      <c r="C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F245" s="2"/>
      <c r="BG245" s="2"/>
      <c r="BH245" s="2"/>
    </row>
    <row r="246" spans="1:60" x14ac:dyDescent="0.2">
      <c r="A246" s="2"/>
      <c r="B246" s="2"/>
      <c r="C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F246" s="2"/>
      <c r="BG246" s="2"/>
      <c r="BH246" s="2"/>
    </row>
    <row r="247" spans="1:60" x14ac:dyDescent="0.2">
      <c r="A247" s="2"/>
      <c r="B247" s="2"/>
      <c r="C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F247" s="2"/>
      <c r="BG247" s="2"/>
      <c r="BH247" s="2"/>
    </row>
    <row r="248" spans="1:60" x14ac:dyDescent="0.2">
      <c r="A248" s="2"/>
      <c r="B248" s="2"/>
      <c r="C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F248" s="2"/>
      <c r="BG248" s="2"/>
      <c r="BH248" s="2"/>
    </row>
    <row r="249" spans="1:60" x14ac:dyDescent="0.2">
      <c r="A249" s="2"/>
      <c r="B249" s="2"/>
      <c r="C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F249" s="2"/>
      <c r="BG249" s="2"/>
      <c r="BH249" s="2"/>
    </row>
    <row r="250" spans="1:60" x14ac:dyDescent="0.2">
      <c r="A250" s="2"/>
      <c r="B250" s="2"/>
      <c r="C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F250" s="2"/>
      <c r="BG250" s="2"/>
      <c r="BH250" s="2"/>
    </row>
    <row r="251" spans="1:60" x14ac:dyDescent="0.2">
      <c r="A251" s="2"/>
      <c r="B251" s="2"/>
      <c r="C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F251" s="2"/>
      <c r="BG251" s="2"/>
      <c r="BH251" s="2"/>
    </row>
    <row r="252" spans="1:60" x14ac:dyDescent="0.2">
      <c r="A252" s="2"/>
      <c r="B252" s="2"/>
      <c r="C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F252" s="2"/>
      <c r="BG252" s="2"/>
      <c r="BH252" s="2"/>
    </row>
    <row r="253" spans="1:60" x14ac:dyDescent="0.2">
      <c r="A253" s="2"/>
      <c r="B253" s="2"/>
      <c r="C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F253" s="2"/>
      <c r="BG253" s="2"/>
      <c r="BH253" s="2"/>
    </row>
    <row r="254" spans="1:60" x14ac:dyDescent="0.2">
      <c r="A254" s="2"/>
      <c r="B254" s="2"/>
      <c r="C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F254" s="2"/>
      <c r="BG254" s="2"/>
      <c r="BH254" s="2"/>
    </row>
    <row r="255" spans="1:60" x14ac:dyDescent="0.2">
      <c r="A255" s="2"/>
      <c r="B255" s="2"/>
      <c r="C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F255" s="2"/>
      <c r="BG255" s="2"/>
      <c r="BH255" s="2"/>
    </row>
    <row r="256" spans="1:60" x14ac:dyDescent="0.2">
      <c r="A256" s="2"/>
      <c r="B256" s="2"/>
      <c r="C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F256" s="2"/>
      <c r="BG256" s="2"/>
      <c r="BH256" s="2"/>
    </row>
    <row r="257" spans="1:60" x14ac:dyDescent="0.2">
      <c r="A257" s="2"/>
      <c r="B257" s="2"/>
      <c r="C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F257" s="2"/>
      <c r="BG257" s="2"/>
      <c r="BH257" s="2"/>
    </row>
    <row r="258" spans="1:60" x14ac:dyDescent="0.2">
      <c r="A258" s="2"/>
      <c r="B258" s="2"/>
      <c r="C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F258" s="2"/>
      <c r="BG258" s="2"/>
      <c r="BH258" s="2"/>
    </row>
    <row r="259" spans="1:60" x14ac:dyDescent="0.2">
      <c r="A259" s="2"/>
      <c r="B259" s="2"/>
      <c r="C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F259" s="2"/>
      <c r="BG259" s="2"/>
      <c r="BH259" s="2"/>
    </row>
    <row r="260" spans="1:60" x14ac:dyDescent="0.2">
      <c r="A260" s="2"/>
      <c r="B260" s="2"/>
      <c r="C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F260" s="2"/>
      <c r="BG260" s="2"/>
      <c r="BH260" s="2"/>
    </row>
    <row r="261" spans="1:60" x14ac:dyDescent="0.2">
      <c r="A261" s="2"/>
      <c r="B261" s="2"/>
      <c r="C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F261" s="2"/>
      <c r="BG261" s="2"/>
      <c r="BH261" s="2"/>
    </row>
    <row r="262" spans="1:60" x14ac:dyDescent="0.2">
      <c r="A262" s="2"/>
      <c r="B262" s="2"/>
      <c r="C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F262" s="2"/>
      <c r="BG262" s="2"/>
      <c r="BH262" s="2"/>
    </row>
    <row r="263" spans="1:60" x14ac:dyDescent="0.2">
      <c r="A263" s="2"/>
      <c r="B263" s="2"/>
      <c r="C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F263" s="2"/>
      <c r="BG263" s="2"/>
      <c r="BH263" s="2"/>
    </row>
    <row r="264" spans="1:60" x14ac:dyDescent="0.2">
      <c r="A264" s="2"/>
      <c r="B264" s="2"/>
      <c r="C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F264" s="2"/>
      <c r="BG264" s="2"/>
      <c r="BH264" s="2"/>
    </row>
    <row r="265" spans="1:60" x14ac:dyDescent="0.2">
      <c r="A265" s="2"/>
      <c r="B265" s="2"/>
      <c r="C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F265" s="2"/>
      <c r="BG265" s="2"/>
      <c r="BH265" s="2"/>
    </row>
    <row r="266" spans="1:60" x14ac:dyDescent="0.2">
      <c r="A266" s="2"/>
      <c r="B266" s="2"/>
      <c r="C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F266" s="2"/>
      <c r="BG266" s="2"/>
      <c r="BH266" s="2"/>
    </row>
    <row r="267" spans="1:60" x14ac:dyDescent="0.2">
      <c r="A267" s="2"/>
      <c r="B267" s="2"/>
      <c r="C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F267" s="2"/>
      <c r="BG267" s="2"/>
      <c r="BH267" s="2"/>
    </row>
    <row r="268" spans="1:60" x14ac:dyDescent="0.2">
      <c r="A268" s="2"/>
      <c r="B268" s="2"/>
      <c r="C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F268" s="2"/>
      <c r="BG268" s="2"/>
      <c r="BH268" s="2"/>
    </row>
    <row r="269" spans="1:60" x14ac:dyDescent="0.2">
      <c r="A269" s="2"/>
      <c r="B269" s="2"/>
      <c r="C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F269" s="2"/>
      <c r="BG269" s="2"/>
      <c r="BH269" s="2"/>
    </row>
    <row r="270" spans="1:60" x14ac:dyDescent="0.2">
      <c r="A270" s="2"/>
      <c r="B270" s="2"/>
      <c r="C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F270" s="2"/>
      <c r="BG270" s="2"/>
      <c r="BH270" s="2"/>
    </row>
    <row r="271" spans="1:60" x14ac:dyDescent="0.2">
      <c r="A271" s="2"/>
      <c r="B271" s="2"/>
      <c r="C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F271" s="2"/>
      <c r="BG271" s="2"/>
      <c r="BH271" s="2"/>
    </row>
    <row r="272" spans="1:60" x14ac:dyDescent="0.2">
      <c r="A272" s="2"/>
      <c r="B272" s="2"/>
      <c r="C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F272" s="2"/>
      <c r="BG272" s="2"/>
      <c r="BH272" s="2"/>
    </row>
    <row r="273" spans="1:60" x14ac:dyDescent="0.2">
      <c r="A273" s="2"/>
      <c r="B273" s="2"/>
      <c r="C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F273" s="2"/>
      <c r="BG273" s="2"/>
      <c r="BH273" s="2"/>
    </row>
    <row r="274" spans="1:60" x14ac:dyDescent="0.2">
      <c r="A274" s="2"/>
      <c r="B274" s="2"/>
      <c r="C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F274" s="2"/>
      <c r="BG274" s="2"/>
      <c r="BH274" s="2"/>
    </row>
    <row r="275" spans="1:60" x14ac:dyDescent="0.2">
      <c r="A275" s="2"/>
      <c r="B275" s="2"/>
      <c r="C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F275" s="2"/>
      <c r="BG275" s="2"/>
      <c r="BH275" s="2"/>
    </row>
    <row r="276" spans="1:60" x14ac:dyDescent="0.2">
      <c r="A276" s="2"/>
      <c r="B276" s="2"/>
      <c r="C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F276" s="2"/>
      <c r="BG276" s="2"/>
      <c r="BH276" s="2"/>
    </row>
    <row r="277" spans="1:60" x14ac:dyDescent="0.2">
      <c r="A277" s="2"/>
      <c r="B277" s="2"/>
      <c r="C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F277" s="2"/>
      <c r="BG277" s="2"/>
      <c r="BH277" s="2"/>
    </row>
    <row r="278" spans="1:60" x14ac:dyDescent="0.2">
      <c r="A278" s="2"/>
      <c r="B278" s="2"/>
      <c r="C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F278" s="2"/>
      <c r="BG278" s="2"/>
      <c r="BH278" s="2"/>
    </row>
    <row r="279" spans="1:60" x14ac:dyDescent="0.2">
      <c r="A279" s="2"/>
      <c r="B279" s="2"/>
      <c r="C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F279" s="2"/>
      <c r="BG279" s="2"/>
      <c r="BH279" s="2"/>
    </row>
    <row r="280" spans="1:60" x14ac:dyDescent="0.2">
      <c r="A280" s="2"/>
      <c r="B280" s="2"/>
      <c r="C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F280" s="2"/>
      <c r="BG280" s="2"/>
      <c r="BH280" s="2"/>
    </row>
    <row r="281" spans="1:60" x14ac:dyDescent="0.2">
      <c r="A281" s="2"/>
      <c r="B281" s="2"/>
      <c r="C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F281" s="2"/>
      <c r="BG281" s="2"/>
      <c r="BH281" s="2"/>
    </row>
    <row r="282" spans="1:60" x14ac:dyDescent="0.2">
      <c r="A282" s="2"/>
      <c r="B282" s="2"/>
      <c r="C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F282" s="2"/>
      <c r="BG282" s="2"/>
      <c r="BH282" s="2"/>
    </row>
    <row r="283" spans="1:60" x14ac:dyDescent="0.2">
      <c r="A283" s="2"/>
      <c r="B283" s="2"/>
      <c r="C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F283" s="2"/>
      <c r="BG283" s="2"/>
      <c r="BH283" s="2"/>
    </row>
    <row r="284" spans="1:60" x14ac:dyDescent="0.2">
      <c r="A284" s="2"/>
      <c r="B284" s="2"/>
      <c r="C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F284" s="2"/>
      <c r="BG284" s="2"/>
      <c r="BH284" s="2"/>
    </row>
    <row r="285" spans="1:60" x14ac:dyDescent="0.2">
      <c r="A285" s="2"/>
      <c r="B285" s="2"/>
      <c r="C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F285" s="2"/>
      <c r="BG285" s="2"/>
      <c r="BH285" s="2"/>
    </row>
    <row r="286" spans="1:60" x14ac:dyDescent="0.2">
      <c r="A286" s="2"/>
      <c r="B286" s="2"/>
      <c r="C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F286" s="2"/>
      <c r="BG286" s="2"/>
      <c r="BH286" s="2"/>
    </row>
    <row r="287" spans="1:60" x14ac:dyDescent="0.2">
      <c r="A287" s="2"/>
      <c r="B287" s="2"/>
      <c r="C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F287" s="2"/>
      <c r="BG287" s="2"/>
      <c r="BH287" s="2"/>
    </row>
    <row r="288" spans="1:60" x14ac:dyDescent="0.2">
      <c r="A288" s="2"/>
      <c r="B288" s="2"/>
      <c r="C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F288" s="2"/>
      <c r="BG288" s="2"/>
      <c r="BH288" s="2"/>
    </row>
    <row r="289" spans="1:60" x14ac:dyDescent="0.2">
      <c r="A289" s="2"/>
      <c r="B289" s="2"/>
      <c r="C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F289" s="2"/>
      <c r="BG289" s="2"/>
      <c r="BH289" s="2"/>
    </row>
    <row r="290" spans="1:60" x14ac:dyDescent="0.2">
      <c r="A290" s="2"/>
      <c r="B290" s="2"/>
      <c r="C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F290" s="2"/>
      <c r="BG290" s="2"/>
      <c r="BH290" s="2"/>
    </row>
    <row r="291" spans="1:60" x14ac:dyDescent="0.2">
      <c r="A291" s="2"/>
      <c r="B291" s="2"/>
      <c r="C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F291" s="2"/>
      <c r="BG291" s="2"/>
      <c r="BH291" s="2"/>
    </row>
    <row r="292" spans="1:60" x14ac:dyDescent="0.2">
      <c r="A292" s="2"/>
      <c r="B292" s="2"/>
      <c r="C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F292" s="2"/>
      <c r="BG292" s="2"/>
      <c r="BH292" s="2"/>
    </row>
    <row r="293" spans="1:60" x14ac:dyDescent="0.2">
      <c r="A293" s="2"/>
      <c r="B293" s="2"/>
      <c r="C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F293" s="2"/>
      <c r="BG293" s="2"/>
      <c r="BH293" s="2"/>
    </row>
    <row r="294" spans="1:60" x14ac:dyDescent="0.2">
      <c r="A294" s="2"/>
      <c r="B294" s="2"/>
      <c r="C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F294" s="2"/>
      <c r="BG294" s="2"/>
      <c r="BH294" s="2"/>
    </row>
    <row r="295" spans="1:60" x14ac:dyDescent="0.2">
      <c r="A295" s="2"/>
      <c r="B295" s="2"/>
      <c r="C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F295" s="2"/>
      <c r="BG295" s="2"/>
      <c r="BH295" s="2"/>
    </row>
    <row r="296" spans="1:60" x14ac:dyDescent="0.2">
      <c r="A296" s="2"/>
      <c r="B296" s="2"/>
      <c r="C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F296" s="2"/>
      <c r="BG296" s="2"/>
      <c r="BH296" s="2"/>
    </row>
    <row r="297" spans="1:60" x14ac:dyDescent="0.2">
      <c r="A297" s="2"/>
      <c r="B297" s="2"/>
      <c r="C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F297" s="2"/>
      <c r="BG297" s="2"/>
      <c r="BH297" s="2"/>
    </row>
    <row r="298" spans="1:60" x14ac:dyDescent="0.2">
      <c r="A298" s="2"/>
      <c r="B298" s="2"/>
      <c r="C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F298" s="2"/>
      <c r="BG298" s="2"/>
      <c r="BH298" s="2"/>
    </row>
    <row r="299" spans="1:60" x14ac:dyDescent="0.2">
      <c r="A299" s="2"/>
      <c r="B299" s="2"/>
      <c r="C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F299" s="2"/>
      <c r="BG299" s="2"/>
      <c r="BH299" s="2"/>
    </row>
    <row r="300" spans="1:60" x14ac:dyDescent="0.2">
      <c r="A300" s="2"/>
      <c r="B300" s="2"/>
      <c r="C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F300" s="2"/>
      <c r="BG300" s="2"/>
      <c r="BH300" s="2"/>
    </row>
    <row r="301" spans="1:60" x14ac:dyDescent="0.2">
      <c r="A301" s="2"/>
      <c r="B301" s="2"/>
      <c r="C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F301" s="2"/>
      <c r="BG301" s="2"/>
      <c r="BH301" s="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21D217-F640-49DD-9387-6A409310BC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Option_Chain</vt:lpstr>
      <vt:lpstr>Option_Chain_Raw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Automatly</dc:creator>
  <cp:lastModifiedBy>VEDANT REDDY</cp:lastModifiedBy>
  <dcterms:created xsi:type="dcterms:W3CDTF">2015-06-05T18:17:20Z</dcterms:created>
  <dcterms:modified xsi:type="dcterms:W3CDTF">2025-10-05T18:39:36Z</dcterms:modified>
</cp:coreProperties>
</file>